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GitHub\Archivos_Compartidos\Proyectos\"/>
    </mc:Choice>
  </mc:AlternateContent>
  <xr:revisionPtr revIDLastSave="0" documentId="8_{3B161DE9-EF7F-46D2-9E97-8F5AFC64E60E}" xr6:coauthVersionLast="47" xr6:coauthVersionMax="47" xr10:uidLastSave="{00000000-0000-0000-0000-000000000000}"/>
  <bookViews>
    <workbookView xWindow="-110" yWindow="-110" windowWidth="19420" windowHeight="11500" firstSheet="1" activeTab="4" xr2:uid="{00000000-000D-0000-FFFF-FFFF00000000}"/>
  </bookViews>
  <sheets>
    <sheet name="Hoja2" sheetId="2" r:id="rId1"/>
    <sheet name="Charly_Ambientes" sheetId="6" r:id="rId2"/>
    <sheet name="Carlos" sheetId="1" r:id="rId3"/>
    <sheet name="Percival" sheetId="3" r:id="rId4"/>
    <sheet name="Alex" sheetId="4" r:id="rId5"/>
    <sheet name="Proyectos" sheetId="7" r:id="rId6"/>
    <sheet name="BAU" sheetId="8" r:id="rId7"/>
    <sheet name="Conciliación" sheetId="9" r:id="rId8"/>
  </sheets>
  <externalReferences>
    <externalReference r:id="rId9"/>
    <externalReference r:id="rId10"/>
    <externalReference r:id="rId11"/>
    <externalReference r:id="rId12"/>
  </externalReferences>
  <definedNames>
    <definedName name="_xlnm._FilterDatabase" localSheetId="2" hidden="1">Carlos!$A$1:$H$92</definedName>
    <definedName name="_xlnm._FilterDatabase" localSheetId="5" hidden="1">Proyectos!$A$1:$H$12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4" l="1"/>
  <c r="I21" i="4" s="1"/>
  <c r="J21" i="4" s="1"/>
  <c r="J18" i="4"/>
  <c r="I19" i="4" s="1"/>
  <c r="J19" i="4" s="1"/>
</calcChain>
</file>

<file path=xl/sharedStrings.xml><?xml version="1.0" encoding="utf-8"?>
<sst xmlns="http://schemas.openxmlformats.org/spreadsheetml/2006/main" count="1671" uniqueCount="593">
  <si>
    <t>Proyecto / Actividad</t>
  </si>
  <si>
    <t>Tipo</t>
  </si>
  <si>
    <t>0600_RK_Estados_de_Cuenta</t>
  </si>
  <si>
    <t>Flujo, terminado y en proceso de automatización con Orquestador</t>
  </si>
  <si>
    <t>1 día</t>
  </si>
  <si>
    <t>0700_CITRIX_Cartera de Clientes</t>
  </si>
  <si>
    <t>1. Automatizar Orquestador</t>
  </si>
  <si>
    <t>1300_1430_CITRIX_SAF_Concilacion_Informacion_Clientes</t>
  </si>
  <si>
    <t>2 días</t>
  </si>
  <si>
    <t>0730_INICIO_DIA_RK</t>
  </si>
  <si>
    <t>3 días</t>
  </si>
  <si>
    <t>Avance</t>
  </si>
  <si>
    <t>tiempo estimado restante</t>
  </si>
  <si>
    <t>Pasos que faltan por hacer</t>
  </si>
  <si>
    <t>1400_LUMINA_Consulta_Inversiones</t>
  </si>
  <si>
    <t>Flujo terminado y publicado, falta automatizar en orquestador</t>
  </si>
  <si>
    <t>2200_CITRIX_Consulta_Clientes</t>
  </si>
  <si>
    <t>Terminado</t>
  </si>
  <si>
    <t>N/A</t>
  </si>
  <si>
    <t>…</t>
  </si>
  <si>
    <t>App_Contratos / RK</t>
  </si>
  <si>
    <t xml:space="preserve">App concluida, en proceso de pruebas unitarias y publicación </t>
  </si>
  <si>
    <t>4 días</t>
  </si>
  <si>
    <t>App_Contratos / SAMOA</t>
  </si>
  <si>
    <t>Desarrollo Web</t>
  </si>
  <si>
    <t>Portal RH SAM MX</t>
  </si>
  <si>
    <t>indeterminado</t>
  </si>
  <si>
    <t>Portal GS</t>
  </si>
  <si>
    <t>Apoyo en pasar diseños de figma a web(html.css.js), y apoyo a desarrollo de formularios web con el bakend</t>
  </si>
  <si>
    <t>He entregado todo lo solicitado y no he tenido mas indicaciones</t>
  </si>
  <si>
    <t>Portal web para publicar apps</t>
  </si>
  <si>
    <t>Publicada y concluida</t>
  </si>
  <si>
    <t>App encriptador</t>
  </si>
  <si>
    <t>App de escritorio para encriptar y desencriptar, publicada y concluida</t>
  </si>
  <si>
    <t>ConnectorLibrary</t>
  </si>
  <si>
    <t>RPA (robot)</t>
  </si>
  <si>
    <t>Desarrollo App (Escritorio)</t>
  </si>
  <si>
    <t xml:space="preserve">Desarrollo extra WEB (propuestas por mi) </t>
  </si>
  <si>
    <t>Desarrollo extra Escritorio (propuestas por mi)</t>
  </si>
  <si>
    <t>Desarrollo extra Libreria (propuestas por mi)</t>
  </si>
  <si>
    <t>Desarrollo extra scripts en Python (propuestas por mi)</t>
  </si>
  <si>
    <t>Actualizar dependencias de nugets</t>
  </si>
  <si>
    <t>Funcionando sin errores</t>
  </si>
  <si>
    <t>mini apps de escritorio variados para automatizar procesos o tareas</t>
  </si>
  <si>
    <t>1. Pasar a proyecto en limpio. 
2. Publicar flujo. 
3. Automatizar con orquestador</t>
  </si>
  <si>
    <t>1. Corregir conexión a carpeta de inicio de día, 
2.Pasar a proyecto en limpio. 
3. Publicar flujo. 
4. Automatizar con orquestador. 
5. Pruebas con usuario final</t>
  </si>
  <si>
    <t>1. analizar dessarrollo, 
2. debugear codigo, 
3. corregir lo que este fallando, 
4. publicar app en el portal del 136.</t>
  </si>
  <si>
    <t>1.cambiar email desde BD. 
2. compilar. 
3.publicar app en el portal del 136. 
4.pruebas de correo con usuario final</t>
  </si>
  <si>
    <t>1. cambiar valores de SQL a Oracle, 
2. Terminar de migrar Estructura de Datos de BD de SQL a Oracle, 
3. Preparar ambiente de Preproduccion, 
4 publicar en preproduccion, 
5. realizar pruebas de alcance a los servidores. 
6 preparar ambiente de produccion, 
7.ejecutar scripts de oracle en produccion, 
8. validar datos de oracle, 
9.Solicitar custodio y credenciales de oracle produccion. 
10. realizar pruebas. 
11 publicar .
12.pasar release publicado a produccion, 
13. configurar server si es necesesario. 
14 activar caracteristicas de windows. 
15. desactivar reglas de fireware al server de produccion, 
16. realizar pruebas.</t>
  </si>
  <si>
    <t>1. actualizar nugets. 
2. publicar dll. Compartirla para los demas desarrollos</t>
  </si>
  <si>
    <t>Prioridad</t>
  </si>
  <si>
    <t>Estatus</t>
  </si>
  <si>
    <t>Iniciado</t>
  </si>
  <si>
    <t>En proceso</t>
  </si>
  <si>
    <t>Pendiente</t>
  </si>
  <si>
    <t>UAT</t>
  </si>
  <si>
    <t>VoBo</t>
  </si>
  <si>
    <t>10 días</t>
  </si>
  <si>
    <t>Fecha Inicio</t>
  </si>
  <si>
    <t>Flujo terminado y automatizado.
Solicitar el VoBo</t>
  </si>
  <si>
    <t>Comentarios</t>
  </si>
  <si>
    <t>RPA Front Banco reporte skandia</t>
  </si>
  <si>
    <t>Paso 1: Abrir el navegador en la pagina de front banco.</t>
  </si>
  <si>
    <t>Paso 2: Insertar credenciales de usuario y dar click en login.</t>
  </si>
  <si>
    <t>Paso 3: En la barra superior dar click en el boton de en medio despues dar click en operaciones.</t>
  </si>
  <si>
    <t>Paso 4: Abrir el menu desplegable del lado izquierdo y dar click en Front de Distribucion Estructurales.</t>
  </si>
  <si>
    <t>Paso 5: Buscar la opcion Consultas(OPICS) y dar click posteriormente seleccionar la opcion Corte de edo de cuenta(OPICS).</t>
  </si>
  <si>
    <t>Hacer el paso 6 para el contrato (1032747)</t>
  </si>
  <si>
    <t>Paso 8: En el outlook enviar correo a javier con el Excel y los Pdf's descargados ese dia.</t>
  </si>
  <si>
    <t>RPA</t>
  </si>
  <si>
    <t>Paso 1: Leer el correo cruze contable y descargar el archivo adjunto
Paso 2: Entrar al portal emisnet con la siguiente url: https://emisnet.bmv.com.mx/emisnet2/seguridad/login.do</t>
  </si>
  <si>
    <t>Fecha Fin</t>
  </si>
  <si>
    <t>0000_AA_Conciliacion_Aladdin</t>
  </si>
  <si>
    <t>Soporte a la operación</t>
  </si>
  <si>
    <t>Este sistema se esta actualiando constantemente por la identificación de fallas en el archivo del banco.</t>
  </si>
  <si>
    <t>Operación continua</t>
  </si>
  <si>
    <t>Conciliación de Octubre. (Pruebas)</t>
  </si>
  <si>
    <t xml:space="preserve">Conciliación de Noviembre. </t>
  </si>
  <si>
    <t>0000_AA_IMSS</t>
  </si>
  <si>
    <t>Actualización de sistemas</t>
  </si>
  <si>
    <t>Migracion de codigo de Windows Forms a Web Forms. (Archivo de posición)</t>
  </si>
  <si>
    <t>Migracion de codigo de Windows Forms a Web Forms. (Archivo de trades)</t>
  </si>
  <si>
    <t>Migracion de codigo de Windows Forms a Web Forms. (Archivo de Excel Posición Valuada)</t>
  </si>
  <si>
    <t>Migracion de codigo de Windows Forms a Web Forms. (Archivo Custodio BBVA)</t>
  </si>
  <si>
    <t>Migracion de codigo de Windows Forms a Web Forms. (Archivo Custodio S3)</t>
  </si>
  <si>
    <t>Conciliación de Diciembre.</t>
  </si>
  <si>
    <t>Migracion de codigo de Windows Forms a Web Forms.</t>
  </si>
  <si>
    <t>11 días</t>
  </si>
  <si>
    <t>Primeras corridas de archivos</t>
  </si>
  <si>
    <t>Conciliación de Enero.</t>
  </si>
  <si>
    <t xml:space="preserve">Pruebas </t>
  </si>
  <si>
    <t>Pruebas de corridas para los archivos. (Archivo de posición)</t>
  </si>
  <si>
    <t>Pruebas de corridas para los archivos.  (Archivo de trades)</t>
  </si>
  <si>
    <t>Pruebas de corridas para los archivos. (Archivo de Excel Posición Valuada)</t>
  </si>
  <si>
    <t>Pruebas de corridas para los archivos. (Archivo Custodio BBVA)</t>
  </si>
  <si>
    <t>Pruebas de corridas para los archivos. (Archivo Custodio S3)</t>
  </si>
  <si>
    <t>cruce contable Emisnet</t>
  </si>
  <si>
    <t>3 dias</t>
  </si>
  <si>
    <t xml:space="preserve">paso 3: Insertar credenciales de usuario, capturar el captcha y logear al sitio
</t>
  </si>
  <si>
    <t>1 dia</t>
  </si>
  <si>
    <t>Paso 6: En el recuadro Contratos ingresar el texto 1032746 pulsar enter y dar click en Aceptar guardar en una ruta especifica añadiendo la nomenclatura ddmmaaaa en el archivo</t>
  </si>
  <si>
    <t>Paso 7: Crear un archivo Excel con el nombre ReporteSKANDIA_ddmmaaaa (cambiar etiqueta a interno)se crearan dos columnasContratos en su fila respectiva se colocara el numero de contrato 1032746(7) abrir los pdf descargados y de cada uno copiar el valor del apartado valor de la cuenta mes actual y pegarlo en el Excel en la segunda columna valor total</t>
  </si>
  <si>
    <t>paso 4: Seleccionar la opcion captura y envio
paso 5: En el menu Lateral seleccionar informacion de operadores 
y fondos de inversion
paso 6: Seleccionar el archivo excel que se descargo previamente desde el correo
paso 7: Poner la fecha del dia
paso 8: Validar el archivo y descargar pdf
paso 9 Enviar archivo pdf al correo de javier</t>
  </si>
  <si>
    <t xml:space="preserve">paso 10: Hacer prueba del rpa </t>
  </si>
  <si>
    <t>Se ajustaron algunos detalles en cuanto a las rutas de guardado de los archivos en la prueba final</t>
  </si>
  <si>
    <t>En Proceso</t>
  </si>
  <si>
    <t>Paso 11: Subir al Orchestador de la nube</t>
  </si>
  <si>
    <t>RPA Tesoreria</t>
  </si>
  <si>
    <t>Paso 1: Dar click en el icono AladdinView</t>
  </si>
  <si>
    <t>Paso 2: Dar click en la pestaña Trades.</t>
  </si>
  <si>
    <t>Paso 3: Dar click en el icono de la estrella"Favoritos".</t>
  </si>
  <si>
    <t>Paso 4: Dar click en la opcion Movimientos MD AGP.</t>
  </si>
  <si>
    <t>Paso 5: Esperar a que cargue la informacion, una vez cargada dar click en la flecha, despues seleccionar la opcion exportar todo</t>
  </si>
  <si>
    <t>Paso 6: Enviar correo para Tesoreria SAM MX</t>
  </si>
  <si>
    <t>Dias estimados</t>
  </si>
  <si>
    <t>0000_AA_TPL_BNP</t>
  </si>
  <si>
    <t xml:space="preserve">Proyecto </t>
  </si>
  <si>
    <t>Creación de Tablas</t>
  </si>
  <si>
    <t>Pruebas de carga</t>
  </si>
  <si>
    <t>Configuración IIS e Instalación Base de Datos</t>
  </si>
  <si>
    <t>Pruebas con el area usuario y correcciones</t>
  </si>
  <si>
    <t>Crear proyecto y codigo de carga de archivos.</t>
  </si>
  <si>
    <t>Adicional en tiempos falta : Subir el proyecto al servidor</t>
  </si>
  <si>
    <t>Se retraso el proceso de subir al orquestador por temas de compatibilidad con el navegador edge y se reconfiguraron algunas partes del proceso</t>
  </si>
  <si>
    <t>RPA Finanzas</t>
  </si>
  <si>
    <t>Paso 4: Dar click en la opcion Mx Trades Finanzas.</t>
  </si>
  <si>
    <t>Paso 5: Dar click en la pestaña New Cash.</t>
  </si>
  <si>
    <t>Paso 6: Dar click en el icono de la estrella"Favoritos".</t>
  </si>
  <si>
    <t>Paso 7: Dar click en la opcion Mx Trades Finanzas.</t>
  </si>
  <si>
    <t>Paso 8: Esperar a que cargue la informacion, una vez cargada dar click en la flecha, despues seleccionar la opcion exportar todo</t>
  </si>
  <si>
    <t>Paso 9: Dar click en el icono Explore</t>
  </si>
  <si>
    <t>Paso 10: Seleccionar la opcion Team WorkSpaces y filtrar por CarlosRevilla Facio, Seleccionar la opcion Posicion Finanzas</t>
  </si>
  <si>
    <t>Paso 11: Esperar a que cargue la informacion, una vez cargada dar click en el icono de exportar.</t>
  </si>
  <si>
    <t>Paso 12: Enviar correo RPA - Cartera Mandatoscon los archivos descargados</t>
  </si>
  <si>
    <t>1. Crear archivo independiente. 
2.Desarrollar flijo parar ingresar a front. 
3. Desarrollar flujo para descargar contradot. 
4.Desarrollar flujo para unir archivos. 
5.Desarrollar flujo para conectar RPA con app de Contratos. 
6 Dessarrollar Flujo para generar reportes y archivos. 
7. Desarrollar flujo para enviar correo de notificacion e inicio de dia. 
8.Publicar archivo. 
9. Automatizar Orquestador. 
10.Realizar pruebas con usuario final</t>
  </si>
  <si>
    <r>
      <t xml:space="preserve">Flujo terminado pero aun falta hacer pruebas con usuario final y pasarlo a un proyecto independiente y depues publicarlo y por ultimo automatizarlo con orquestador.
</t>
    </r>
    <r>
      <rPr>
        <sz val="11"/>
        <color rgb="FFFF0000"/>
        <rFont val="Santander"/>
      </rPr>
      <t>Conexión inestable a carpeta compartida.
Faltan pruebas con Daniela</t>
    </r>
  </si>
  <si>
    <r>
      <t xml:space="preserve">App concluida, corregir el email desde BD y realizar pruebas.
</t>
    </r>
    <r>
      <rPr>
        <sz val="11"/>
        <color rgb="FFFF0000"/>
        <rFont val="Santander"/>
      </rPr>
      <t>En espera del VoBo</t>
    </r>
  </si>
  <si>
    <t>RPA Reporte KIA</t>
  </si>
  <si>
    <t>Paso 4: Dar click en la opcion Repote Diario KIA.</t>
  </si>
  <si>
    <t>paso 5: Seleccionar la información de la grid a partir de la columna Td Num y copiarla</t>
  </si>
  <si>
    <t>paso 6: Abrir la macro Daily Trades KIA.xlsm, borrar la informacion existente expto los encabezados.</t>
  </si>
  <si>
    <t>Paso 7: Pegar la informacion que se copio desde el aladdin en el excel</t>
  </si>
  <si>
    <t>Paso 8: Dar click en el boton generar reporte, seleccionar la opcion si.</t>
  </si>
  <si>
    <t>Paso 9: EN la ventana que se abre para enviar el correo Seleccionar la opcion verificar nombres y enviar correo.</t>
  </si>
  <si>
    <t>7 días</t>
  </si>
  <si>
    <t>5 días</t>
  </si>
  <si>
    <t>Se realizó 1er ciclo de pruebas por Javier.
Se continua con más pruebas</t>
  </si>
  <si>
    <t>1 días</t>
  </si>
  <si>
    <t>Conciliación de Febrero.</t>
  </si>
  <si>
    <t>En espera de VoBo por parte del cliente</t>
  </si>
  <si>
    <t>RPA Solicitud Exceso</t>
  </si>
  <si>
    <t>Paso1: copiar la tabla que envian en el correo solicitud de excesos</t>
  </si>
  <si>
    <t>Paso 2: Pegar la tabla en en archivo  layout exceso de drivados.xlsm en la pestaña recepciones en la celda L3 con formato especial unicode</t>
  </si>
  <si>
    <t>Paso 3 seleccionar la pestaña layout interb y en la celda H6 realizar el filtro desmarcando las casillas valor nd y vacias</t>
  </si>
  <si>
    <t>Paso 4: copiar el resultado de los filtros en la columna H y crear un archivo txt pegando los valores el nombre del archivo debe ser ExcesoDerivados_yyyyMMdd.txt</t>
  </si>
  <si>
    <t>Paso 5: enviar correo a Tesoreria SAM MX con el archivo txt creado</t>
  </si>
  <si>
    <t>Migración de SQL a Oracle: 100 %.
Ajustes a la aplicaión para la conexión a Oracle 100 %- Ultimas pruebas</t>
  </si>
  <si>
    <t>2 Días</t>
  </si>
  <si>
    <t>1 Días</t>
  </si>
  <si>
    <t>RPA -- Reporte a Global</t>
  </si>
  <si>
    <t>Paso 1: Abrir Cash Master, Seleccionar la pestaña Research, agregar los filtros Currency: MXN, Settle Date:  “T-1”    To: “T-1”, Trade Date: “T-1”    To: “T-1”</t>
  </si>
  <si>
    <t>Paso 2: Seleccionar el campo de portafolio e ingresar el nombre correspondiente a cada uno de los mismos para sacar su informacion</t>
  </si>
  <si>
    <t>Paso 3: Dar click en el icono de actualizar</t>
  </si>
  <si>
    <t>Paso 4: Copiar toda la informacion de la tabla</t>
  </si>
  <si>
    <t>Paso 5: Pegar la informacion en el archivo ConciliacionAladdin.xlsx</t>
  </si>
  <si>
    <t>Paso 6 : Guardar el archivo como Conciliacion_Aladdin_yyyyMMdd.xlsx</t>
  </si>
  <si>
    <t>Paso 7: Enviar el archivo Conciliacion_Aladdin_yyyyMMdd.xlsx por correo a Confirmaciones Sam Mx</t>
  </si>
  <si>
    <t>3 Días</t>
  </si>
  <si>
    <t>En proceso de pruebas con Damienla. 
Ajustes en macros.
Espera de VoBo</t>
  </si>
  <si>
    <t>Hoy 21 se termina</t>
  </si>
  <si>
    <t>Al pendeinte de observaciones</t>
  </si>
  <si>
    <t>Paso 1. ejecutar app de ocultar menu zoom
Paso 2. Cerrar Navegador y dependencias de excel, citrix, clientes
Paso 3. Obtener credenciales
Paso 4. Ingresar a citrix y validar portal
Paso 5. Logearse
Paso 6. Validaciones de logeo
Paso 7. Abrir Clientes y Logearse
Paso 8. buscar info en clientes
Paso 9. Usar macro
Paso 10. Enviar archivos generados
Paso 11. Pruebas con el usuario
Paso 12. Publicar RPA
Paso 13. Dar de alta en Orquestador
Paso 14. Crear archivo ejecutador en .bat
Paso 15. Programar tarea con windows</t>
  </si>
  <si>
    <t>RPA  Liberacion Tesoreria</t>
  </si>
  <si>
    <t>Paso1: Comprobar que llego el correo de liberacion enviado por confirmaciones sam mx</t>
  </si>
  <si>
    <t>Paso 2:abrir aladdin view y hacer la consulta MX trades Finanzas en la pestaña trades y  la consulta Saldos chequera AGP en la pestaña positions</t>
  </si>
  <si>
    <t>Paso 3: Guardar el archivo xlsx como "trades-downloadReport"</t>
  </si>
  <si>
    <t>Paso 4: Enviar archivo descargado por correo a Tesoreria Sam Mx</t>
  </si>
  <si>
    <t>Ambiente Dev</t>
  </si>
  <si>
    <t xml:space="preserve">Paso 4: Validar que tengamos acceso al portal </t>
  </si>
  <si>
    <t>Paso 5. Teclear Password y cadena de conexion en la web</t>
  </si>
  <si>
    <t xml:space="preserve">     5.1 Encriptar cadena de conexion</t>
  </si>
  <si>
    <t xml:space="preserve">     5.2 Cambiar motor de Sql a Oracle</t>
  </si>
  <si>
    <t>Paso 6 Probar funcionamiento</t>
  </si>
  <si>
    <t>Paso 7 Corregir detalles de Procedimientos "Solo si es necesario"</t>
  </si>
  <si>
    <t>Ambiente Pre-Producción</t>
  </si>
  <si>
    <t xml:space="preserve">Paso 1: Compartir insumos de publicación de web a Paulo </t>
  </si>
  <si>
    <t xml:space="preserve">     1.1 Crear manual tecnico para actualizar insumos en el servidor  (Listo)</t>
  </si>
  <si>
    <t xml:space="preserve">Paso 2: Levantar tiket de tecleo de password Oracle  </t>
  </si>
  <si>
    <t xml:space="preserve">     2.3 Solicitar que envien password a Alvaro </t>
  </si>
  <si>
    <t xml:space="preserve">Paso 3 Levantar tiket para desbloquear puertos para Oracle </t>
  </si>
  <si>
    <t xml:space="preserve">     3.1 Crear archivo 045 con datos de red para desbloquear puertos</t>
  </si>
  <si>
    <t>Ambiente Producción</t>
  </si>
  <si>
    <t>Paso 1: Compartir insumos de publicación de web a Paulo</t>
  </si>
  <si>
    <t xml:space="preserve">     1.1 Crear manual tecnico para actualizar insumos en el servidor</t>
  </si>
  <si>
    <t>Paso 2: Levantar tiket de tecleo de password Oracle</t>
  </si>
  <si>
    <t xml:space="preserve">     2.1 Conseguir la  para volver a levantar tikect correcto</t>
  </si>
  <si>
    <t xml:space="preserve">     2.2 Volver a levantar tikect con la categoria correcta</t>
  </si>
  <si>
    <t xml:space="preserve">     2.3 Solicitar que envien password a Alvaro</t>
  </si>
  <si>
    <t>Paso 3 Levantar tiket para desbloquear puertos para Oracle</t>
  </si>
  <si>
    <t>Levantar ticket para la creación de los usuarios "2" de BD y Scheme</t>
  </si>
  <si>
    <t>En espera de VoBO por  Carlos Barrera</t>
  </si>
  <si>
    <t>5 día</t>
  </si>
  <si>
    <t>4 día</t>
  </si>
  <si>
    <t>4 dias</t>
  </si>
  <si>
    <t>04-abr</t>
  </si>
  <si>
    <t>Desarrollo del nuevo reporte S3</t>
  </si>
  <si>
    <t>Pruebas Finales</t>
  </si>
  <si>
    <t>Aplicacion GlobalModelControl</t>
  </si>
  <si>
    <t>Aplicacion Winforms</t>
  </si>
  <si>
    <t>Paso 1:Crear archivo txt con los siguientes datos: cadena de conexion, ruta de los archivos a cargar</t>
  </si>
  <si>
    <t>14-abr</t>
  </si>
  <si>
    <t>15-abr</t>
  </si>
  <si>
    <t>Paso 2: Crear una aplicacion de escritorio, Hacer el modelo de la aplicacion</t>
  </si>
  <si>
    <t>16-abr</t>
  </si>
  <si>
    <t>Paso 3: Realizar la clase con las configuraciones de conexion a base de datos y obtencion de las rutas delos archivos</t>
  </si>
  <si>
    <t>Paso 4: Crear configuracion para cargar los archivos y  se actualicen las tablas en la base de datos.</t>
  </si>
  <si>
    <t>Paso 5; Configurar el layout de los archivosy se generen losarchivos actualizados.</t>
  </si>
  <si>
    <t>Paso 6: Configurar envio de correo tanto de exito como de error.</t>
  </si>
  <si>
    <t>Pruebas Depende el desbloqueo del Usuario</t>
  </si>
  <si>
    <t>Fecha de entrega el 15-05-2025</t>
  </si>
  <si>
    <t>Paso 7: Se presentara la app funcionando al 100.</t>
  </si>
  <si>
    <t>Desbloqueo de puertos par Oracle (Pre)</t>
  </si>
  <si>
    <t>Revisión de configuración (Pre) en Oracle</t>
  </si>
  <si>
    <t>Modificación de RPA de Global Report</t>
  </si>
  <si>
    <t>Creación de RPA de Frond Vives</t>
  </si>
  <si>
    <t>23-abr</t>
  </si>
  <si>
    <t xml:space="preserve">Se ajusto el metodo insert de las tablas positions y trades ya que el valor de las fechas estaba erroneo se formateo como dd/MM/yyyy </t>
  </si>
  <si>
    <t>25-abr</t>
  </si>
  <si>
    <t>Paso 6: Creacion de archivozip con todos loscsv generados</t>
  </si>
  <si>
    <t>Se realizo la prueba del metodo Crearzip. No hubo exito en su ejecucion ya que no se permitia el acceso, se procedio a enviar los archivos sin comprimir(queda como funcion opcional)</t>
  </si>
  <si>
    <t>Elenvio de los archivos es correcto sin que se recurra a comprimirlos en un archivo zip</t>
  </si>
  <si>
    <t>Se realiza prueba general de todos los metodos de insert, generacion de archivos y envio de correo. Para validar que ya funcionen correctamente.</t>
  </si>
  <si>
    <t>Registro de tickets (Pre y Pro)</t>
  </si>
  <si>
    <t>Solicitud de IP´s (Pre y Pro)</t>
  </si>
  <si>
    <t>Desbloqueo de puertos para servidor WEB (Pre y Pro)</t>
  </si>
  <si>
    <t>Configuración de DNS de Servidores (Pre y Pro)</t>
  </si>
  <si>
    <t>Pasar los RPA´s de Carlos a Percival</t>
  </si>
  <si>
    <t>Estados de Cuanta</t>
  </si>
  <si>
    <t>Archivos COVAF</t>
  </si>
  <si>
    <t>Mensual</t>
  </si>
  <si>
    <t>Diario</t>
  </si>
  <si>
    <t>RPA - Edos de cuenta</t>
  </si>
  <si>
    <t>Paso 1: Verificar si la rut de destino existe y si no se crea(Aqui se depositaran los pdf a descargar)</t>
  </si>
  <si>
    <t>Paso 2: Ingresar al portal front banco</t>
  </si>
  <si>
    <t>Paso 3: ir al apartado de front de distribucion estructurales</t>
  </si>
  <si>
    <t>Paso 4: En la ventana de front ir al apartado de consultasOPICS(consulta edos de cuenta)</t>
  </si>
  <si>
    <t>Paso 5: realizar un ciclo para descargar los pdf de cada uno de los contratos listados en el archivo excel Contratos Banco.xlsx</t>
  </si>
  <si>
    <t>Paso 6: Una vez que esten todos los pdf en la ruta establecida crear un archivo zip que contenga todos los pdf</t>
  </si>
  <si>
    <t>Conciliación de Abril.</t>
  </si>
  <si>
    <t>0000_AA_DispersionMailer</t>
  </si>
  <si>
    <t>Desarrollo de aplicación</t>
  </si>
  <si>
    <t>En espera dela lista actualizada para hacer la prueba total del ciclo</t>
  </si>
  <si>
    <t>RPA - Reportes Covaf</t>
  </si>
  <si>
    <t>Paso 1: Verificar si la ruta de destino existe y si no se crea(Aqui se depositaran los archivos descargados)</t>
  </si>
  <si>
    <t>Paso 2: Ingresar al portal de covaf</t>
  </si>
  <si>
    <t>Paso 3: Descargar los reportes.</t>
  </si>
  <si>
    <t>Paso 4: Crear un zip con todos losarchivosdescagados.</t>
  </si>
  <si>
    <t>Paso 5: Enviar zip por correo.</t>
  </si>
  <si>
    <t>Pruebas con el usuario</t>
  </si>
  <si>
    <t>RPA - Reportes GlobalModelControl</t>
  </si>
  <si>
    <t>Complemento de la aplicacion Global Model Control.</t>
  </si>
  <si>
    <t>Se planea que su ejecucion se diaria a las 9pm</t>
  </si>
  <si>
    <t>RPAs</t>
  </si>
  <si>
    <t>Horario</t>
  </si>
  <si>
    <t>RPA Skandia</t>
  </si>
  <si>
    <t>RPA Solicitud de Excesos</t>
  </si>
  <si>
    <t>PERCIVAL</t>
  </si>
  <si>
    <t>RPA Kia</t>
  </si>
  <si>
    <t>RPA Cruce</t>
  </si>
  <si>
    <t>RPA Conciliacion</t>
  </si>
  <si>
    <t>RPA Liberacion</t>
  </si>
  <si>
    <t>RPA Edos Cuenta</t>
  </si>
  <si>
    <t>RPA GlobalControlModel</t>
  </si>
  <si>
    <t>RK Estados de cuenta</t>
  </si>
  <si>
    <t>RK Lumina</t>
  </si>
  <si>
    <t>Citrix Cartera de clientes</t>
  </si>
  <si>
    <t>CARLOS</t>
  </si>
  <si>
    <t>Lumina Consulta de inversiones</t>
  </si>
  <si>
    <t>Citrix consulta clientes</t>
  </si>
  <si>
    <t>RPA reportes COVAF</t>
  </si>
  <si>
    <t>Paso 1: Descargar los reportes Balanza, Precios y Cartera desde el correo.</t>
  </si>
  <si>
    <t>Paso 2: Descargar el archivo vector desde el portal pip.</t>
  </si>
  <si>
    <t>Paso 3 :Descargar el reporte trades y positions de aladdin</t>
  </si>
  <si>
    <t>Paso 4: Mover los reportes descargados a la carpeta del la aplicacion GlobalModelControl</t>
  </si>
  <si>
    <t>RPA - Front Vives</t>
  </si>
  <si>
    <t>Paso 1: Copiar la informacion del reporte iniciofront.xlsx previamente generado en el rpa RK Lumina</t>
  </si>
  <si>
    <t xml:space="preserve">Paso 2. Copiar las plantillas de las macros INICIOFRONT y  Conciliacion </t>
  </si>
  <si>
    <t>Paso 3. pegar la informacion en las macros en las hojas front y pendientes</t>
  </si>
  <si>
    <t>Paso 4. generar los reportes mediante la macros y enviarlos por correo.</t>
  </si>
  <si>
    <t>Nombre del Recurso</t>
  </si>
  <si>
    <t>Perfil</t>
  </si>
  <si>
    <t>Tecnología</t>
  </si>
  <si>
    <t>Fecha de Ingreso</t>
  </si>
  <si>
    <t>Proyecto</t>
  </si>
  <si>
    <t>Actividades</t>
  </si>
  <si>
    <t>Jose Alejandro Morales Morales</t>
  </si>
  <si>
    <t>Developer Microsoft</t>
  </si>
  <si>
    <t>C#, SQL Server, Visual Studio, Linq Q, Java Script, Transact SQL Server, .NET Framework, Bootstrap, CSS</t>
  </si>
  <si>
    <t>Operación</t>
  </si>
  <si>
    <t xml:space="preserve">Conciliación
IMSS
Dispersión Mail
</t>
  </si>
  <si>
    <t>Conciliación mensual</t>
  </si>
  <si>
    <t>3 días de cada mes</t>
  </si>
  <si>
    <t>Percival</t>
  </si>
  <si>
    <t>Actual</t>
  </si>
  <si>
    <t>Monitoreo de RPA´s de 8:15 a 22:00 hrs</t>
  </si>
  <si>
    <t>Carlos Alberto Barrera Lugo</t>
  </si>
  <si>
    <t>Desarrollador Sr .Net</t>
  </si>
  <si>
    <t>Visual Studio, Visual Code, Git, GitHub, SQL Server, Oracle, MySQL, SQL Developer, VBA, C# .Net, APS.NET, ASP.NET MVC5, API Rest, WPF Desketop, HTML, CSS, JavaScript, Python, batch, UiPath Studio, Administrar IIS, Figma, Ilspy, Monday, OneNote</t>
  </si>
  <si>
    <t>Desarrollo de Aplicaciones de Escritorio (C# y WPF)
• APP_SAMOA: Herramienta para el envío automatizado de plantillas.
• APP_CONTRATOS: Aplicación para extraer archivos de cierre y generar históricos en el sistema RK.
• APP_REUNE: Herramienta con integración de tokens para sincronización con plataforma REUNE.
• APP_PORTAL_BMT: Utilidad para empaquetar aplicaciones y publicarlas en el portal de herramientas.
• APP_ZOOM: Aplicación experimental para renovación automática de sesiones de Zoom (50% de tasa de éxito, dependiente de versión y estado de la sesión).</t>
  </si>
  <si>
    <t>Automatización de Procesos (RPA)
• Diseño y desarrollo de RPAs para flujos diarios de trabajo, incluyendo:
• - Inicio de día: Automatización de tareas que inician operaciones a las 7:00 a.m.
• - Front VIVES: RPA ejecutado a las 6:45 a.m.
• - Activos y Directos: Flujo automatizado diario.
• - Estados de Cuenta: Proceso programado para las 5:00 a.m.
• - Consulta de Inversiones: Automatización diaria a las 2:00 p.m.
• - Finanzas: Ejecución programada a las 10:00 p.m.
• - Reporte Global: Ejecución programada a las 9:30 p.m.
• Desarrollo de un sistema interno para ejecutar RPAs manuales de forma automatizada (actualmente con un 80% de éxito en ejecución).
• Creación de herramientas básicas en Python para complementar RPAs.</t>
  </si>
  <si>
    <t>Desarrollo Web y Arquitectura
• Creación del portal web PORTAL RH desde cero en ASP.NET MVC5 con arquitectura en N-Capas:
• - Módulos: Login, Inicio, MisCursos, CrearEvaluaciones, AsignarEvaluaciones, VerResultados, Calificaciones, Administrador, SuperRoot.
• Despliegue en ambiente de desarrollo, corrección de bugs y migración de información desde el portal anterior.
• Adaptación del portal para compatibilidad con Oracle, incluyendo modificación de scripts, manejo de sesiones y pruebas.
• Apoyo en migración de vistas diseñadas en Figma para el portal Golden Source, creación de módulos CRUD y restructura de archivos base (CSS/HTML).
• Desarrollo del portal web SAM_BMT (Business Manager Tools) como solución para la gestión de proyectos .NET.</t>
  </si>
  <si>
    <t>Creación de Librerías Técnicas
• ConnectorLibrary: Librería segura que fuerza el uso de SPs a través de ADO.NET.
• EncryptLibrary: Implementación de encriptación AES-256 con manejo de tokens para conexiones.
• ExcelLibrary: Generación y manipulación eficiente de archivos Excel.
• Ejecución de pruebas y documentación técnica para cada librería.</t>
  </si>
  <si>
    <t>Base de Datos y Back-End
• Diseño completo de base de datos en SQL Server para el nuevo PORTAL RH.
• Migración de base de datos de SQL Server a Oracle (ajuste de tablas, datos y SPs).
• Creación de esquemas y usuarios en entornos DEV, PRE y PRO.
• Levantamiento de tickets para publicación y configuración de ambientes productivos.
• Pruebas y validaciones en servidores PRE y PRO.</t>
  </si>
  <si>
    <t>Mantenimiento y Soporte
• Revisión y debug de macros en herramientas como SAMOA, RK, FRONTINICIODEDIA y FRONT VIVES.
• Mantenimiento evolutivo y correctivo de APP_CONTRATOS y PORTAL RH.
• Generación de nuevos layouts para procesos como Covaf.</t>
  </si>
  <si>
    <t xml:space="preserve">
Documentación y Capacitación
• Documentación técnica y funcional del sistema PORTAL RH.
• Elaboración de manuales de usuario.
• Capacitación a personal de nuevo ingreso (Laura, Alex, Jorge, Percival).</t>
  </si>
  <si>
    <t>Se culmino con el desarrollo "no se utilizo por no poder establecerse la ruta de la carpeta local"</t>
  </si>
  <si>
    <t xml:space="preserve">Aplicación de escritorio </t>
  </si>
  <si>
    <t>El usuario solicito mas funcionalidad "otra ruta de hubicación de contratos"</t>
  </si>
  <si>
    <t>1 er Pruebas de la aplicación</t>
  </si>
  <si>
    <t xml:space="preserve">Creación de tablero PTO para los proyectos (COVAF, PLD, Portal RH) </t>
  </si>
  <si>
    <t>Reinstalación del Framework en Nodo 1 t 2 de Seridores Productivos par RH</t>
  </si>
  <si>
    <t xml:space="preserve">Publicar el proyecto RH en los servidores productivos </t>
  </si>
  <si>
    <t>Ejecución de comando en Power Shell</t>
  </si>
  <si>
    <t>Generación y envió de ticket para cambio de conmpañia (SAM MX) para COVAF y RH</t>
  </si>
  <si>
    <t>Proceso</t>
  </si>
  <si>
    <t>Configuración</t>
  </si>
  <si>
    <t>Despliegue</t>
  </si>
  <si>
    <t>Documentación</t>
  </si>
  <si>
    <t>Incident Management</t>
  </si>
  <si>
    <t>Irving Hernández Matla</t>
  </si>
  <si>
    <t>Programador Senior</t>
  </si>
  <si>
    <t>.Net, SQL Server, Oracle</t>
  </si>
  <si>
    <t>Record Keeping</t>
  </si>
  <si>
    <t xml:space="preserve">*Análisis Portal Actual Record Keeping FIDEM 
*Definición Look &amp; Feel Nuevo Portal
*Validación DLL FIDEM
*Configuración Ambiente DEMO
*Implementación Módulo de Seguridad (Login / Aviso de Privacidad / Home)
*Implementación Modulo de Consultas de Participante (Préstamos, Retiros)
</t>
  </si>
  <si>
    <t>Rodolfo Pérez Campos</t>
  </si>
  <si>
    <t xml:space="preserve">*Análisis Portal Actual Record Keeping FIDEM
*Definición Look &amp; Feel Nuevo Portal
*Validación DLL FIDEM
*Configuración Ambiente DEMO
*Implementación Módulo de Consultas de Participante
</t>
  </si>
  <si>
    <t xml:space="preserve">Mario Ortiz Gómez </t>
  </si>
  <si>
    <t xml:space="preserve">*Análisis Portal Actual Record Keeping FIDEM
*Validación DLL FIDEM
*Implementación Módulo de Consultas de Participante (Movimientos y Saldos, Consulta de Movimientos)
</t>
  </si>
  <si>
    <t>*Implementación Módulo de Consultas de Administrador (Home, Posición)
- Análisis Portal Actual Record Keeping FIDEM
- Validación DLL FIDEM
- Construcción
- Ajustes a observaciones en pruebas funcionales</t>
  </si>
  <si>
    <t>*Implementación Módulo de Solicitudes de Participante (Préstamos y Retiros)
- Análisis Portal Actual Record Keeping FIDEM
- Validación DLL FIDEM
- Construcción
- Ajustes a observaciones en pruebas funcionales</t>
  </si>
  <si>
    <t>*Implementación Módulo de Consultas de Administrador (Saldos, Saldos por Empresa)
- Análisis Portal Actual Record Keeping FIDEM
- Validación DLL FIDEM
- Construcción
- Ajustes a observaciones en pruebas funcionales</t>
  </si>
  <si>
    <t>*Implementación Módulo de Consultas de Administrador (Movimientos, Reporte de Liquidación)
- Análisis Portal Actual Record Keeping FIDEM
- Validación DLL FIDEM
- Construcción
- Ajustes a observaciones en pruebas funcionales</t>
  </si>
  <si>
    <t>*Implementación Módulo de Administración de Usuarios (Generar, Regenerar, Modificar perfil, bloquear y desbloquear)
- Análisis Portal Actual Record Keeping FIDEM
- Validación DLL FIDEM
- Construcción
- Ajustes a observaciones en pruebas funcionales</t>
  </si>
  <si>
    <t>Golden Source</t>
  </si>
  <si>
    <t>*Implementación Requerimiento Rendimientos Netos
- Análisis y Documentación de Requerimiento
- Construcción Servicio Lectura Rendimientos Netos Diarios
- Diseño y Construcción de Pantalla Rendimientos Netos
- Ajustes a observaciones en pruebas funcionales</t>
  </si>
  <si>
    <t>*Implementación Módulo Gestor de Préstamos
- Análisis Portal Actual Record Keeping FIDEM
- Validación DLL FIDEM
- Construcción
- Ajustes a observaciones en pruebas funcionales</t>
  </si>
  <si>
    <t>0000_AA_ConciliarLiquidacion</t>
  </si>
  <si>
    <t>Desarrollador .Net</t>
  </si>
  <si>
    <t>Tecnologías: C#, Sql server, visual studio, visual studio code, Entity framework, Asp. Net, Net framework, Mvc, Ado .Net, Linq, jQuery 3.7</t>
  </si>
  <si>
    <t>Validación correcta del portal RH</t>
  </si>
  <si>
    <t>RPA cargas listas negras COVAF</t>
  </si>
  <si>
    <t>Se mantiene en pendiente, y que notificaron que compartiran los reportes con otra aplicacion</t>
  </si>
  <si>
    <t>Llenado de tablero de la wiki- PLD</t>
  </si>
  <si>
    <t>Formatos de Matriz PTO - PLD</t>
  </si>
  <si>
    <t>Se revisa el avance para terminarlo</t>
  </si>
  <si>
    <t>1. Troubleshooting Firewall Aseguradoras Pre</t>
  </si>
  <si>
    <t>1. Troubleshooting Firewall RH Pro</t>
  </si>
  <si>
    <t>Validación correcta del portal Aseguradoras</t>
  </si>
  <si>
    <t>Incident Management PLD</t>
  </si>
  <si>
    <t>Incident Management Aseguradoras</t>
  </si>
  <si>
    <t>Incident Management RH</t>
  </si>
  <si>
    <t>Formatos de Matriz PTO - RH</t>
  </si>
  <si>
    <t>Llenado de tablero de la wiki- RH</t>
  </si>
  <si>
    <t>P2do cliclo de pruebas terminado</t>
  </si>
  <si>
    <t>Pruebas ok</t>
  </si>
  <si>
    <t>1. Desarrollo complemento de conciliación
2. Pruebas de complemento</t>
  </si>
  <si>
    <t>Abraham Dávalos Bautista</t>
  </si>
  <si>
    <t>UX/UI</t>
  </si>
  <si>
    <t>Figma, Javascript, HTML</t>
  </si>
  <si>
    <t>*Análisis Portal Actual Record Keeping FIDEM 
*Definición Look &amp; Feel Nuevo Portal
*Diseño y Construcción Pantallas Módulo de Seguridad (Login / Aviso de Privacidad / Home)
*Diseño y Construcción Pantallas Módulo de Consultas de Participante (Movimientos y Saldos, Consulta de Movimientos, Préstamos, Retiros)
*Diseño y Construcción Pantallas Módulo de Solicitudes de Participante (Préstamos y Retiros)</t>
  </si>
  <si>
    <t>Diseño y Construcción Pantallas 
Módulo de Consultas de Administrador</t>
  </si>
  <si>
    <t>Diseño y Construcción Pantallas 
Módulo de Administración de Usuarios</t>
  </si>
  <si>
    <t>Diseño y Construcción Pantallas 
Módulo Gestor de Préstamos</t>
  </si>
  <si>
    <t>Diseño y Construcción Pantallas
Módulo Gestor de Retiros</t>
  </si>
  <si>
    <t>Diseño y Construcción Pantallas
Módulo Reportes</t>
  </si>
  <si>
    <t>*Definición Look &amp; Feel Sitio Golden Source
*Diseño y Construcción Pantallas Módulo de
Seguridad (Login, Grupos Empresariales)
*Diseño y Construcción Pantallas
Módulo Clientes KYC (Catálogo Grupos
Empresariales, Consulta de Clientes, Información
de Clientes, Información de Contratos, Carga 
Archivo KYC, Parametrización de Comisiones)</t>
  </si>
  <si>
    <t>Diseño y Construcción Pantalla 
Módulo Rendimientos Brutos</t>
  </si>
  <si>
    <t>Diseño y Construcción Pantalla
Módulo Carga de Fuentes Externas (Bitacora)</t>
  </si>
  <si>
    <t>Diseño y Construcción Pantalla
Módulo Fideicomisos</t>
  </si>
  <si>
    <t>Juan Carlos Garduño Ayala</t>
  </si>
  <si>
    <t>*Definición Look &amp; Feel Sitio Golden Source
*Implementación Módulo de
Seguridad (Login, Grupos Empresariales)
*Implementación Módulo Clientes KYC (Consulta Grupos Empresariales, Consulta de Clientes, Información de Clientes, Carga Archivo KYC, Parametrización de Comisiones)</t>
  </si>
  <si>
    <t>*Implementación Módulo Clientes KYC (Información
de Clientes, Información de Contratos, Carga
Archivo KYC, Parametrización de Comisiones)
- Análisis requerimiento de usuario
- Construcción
- Ajustes a observaciones en pruebas funcionales</t>
  </si>
  <si>
    <t>*Implementación Módulo Posición y Flujos de
de Clientes en Directo (Pantalla de Procesamiento,
Reporte de Posición y Flujos)
- Análisis requerimiento de usuario
- Construcción
- Ajustes a observaciones en pruebas funcionales</t>
  </si>
  <si>
    <t>Angel Rodríguez Betanzos</t>
  </si>
  <si>
    <t>Programador Junior</t>
  </si>
  <si>
    <t>*Definición Look &amp; Feel Sitio Golden Source
*Implementación Módulo Clientes KYC (Consulta Grupos Empresariales, Consulta de Clientes, Información de Clientes, Información de Contratos, Parametrización de Comisiones)</t>
  </si>
  <si>
    <t>*Implementación Módulo Clientes KYC (Información
de Clientes, Información de Contratos, Catálogo de Grupos Empresariales, Catálogo de Relación Clientes - Grupos Empresariales, Parametrización de Comisiones)
- Análisis requerimiento de usuario
- Construcción
- Ajustes a observaciones en pruebas funcionales</t>
  </si>
  <si>
    <t>*Implementación Módulo Posición y Flujos de
de Clientes en Directo (Carga Archivo Clientes .Net, Catálogo de Fees,
Reporte de Posición y Flujos)
- Análisis requerimiento de usuario
- Construcción
- Ajustes a observaciones en pruebas funcionales</t>
  </si>
  <si>
    <t>Angel León Osornio</t>
  </si>
  <si>
    <t>DBA</t>
  </si>
  <si>
    <t>SQL Server, Oracle</t>
  </si>
  <si>
    <t>* Aprovisionamiento y configuración de ambiente de desarrollo en nube (BD: SAMRKDB)
* Configuración de ambiente de desarrollo provisional On-premise (Server: 180.176.163.137 BD: SAMRKDB)
* Documentación Diccionario de datos BD: SAMRKDB
* Mantenimiento de ambientes de desarrollo (Respaldos, Restauraciones, Reindexación, Optimización) a petición de los programadores.</t>
  </si>
  <si>
    <t>* Aprovisionamiento y configuración de ambiente de desarrollo en nube (BD: SAMGSDB)
* Configuración de ambiente de desarrollo provisional On-premise (Server: 180.176.163.137 BD: SAMGSDB)
* Documentación Diccionario de datos BD: SAMRKDB
* Mantenimiento de ambientes de desarrollo (Respaldos, Restauraciones, Reindexación, Optimización) a petición de los programadores.</t>
  </si>
  <si>
    <t>* Actualización Diccionario de Datos (BD: SAMRKDB) por requerimientos módulos entregados (Módulo de Seguridad, Consultas de Participante, Solicitudes de Participante)
* Mantenimiento de ambientes de desarrollo (Respaldos, Restauraciones, Reindexación, Optimización) a petición de los programadores.
* Generación de Script Migración BD SQL Server a Oracle.</t>
  </si>
  <si>
    <t>* Actualización Diccionario de Datos (BD: SAMRKDB) por requerimientos módulos entregados 
(Consultas de Administrador, Administración de Usuarios)
* Actualización Script Migración BD SQL Server a Oracle.
* Documentación Aprovisionamiento Infraestructura SDS (ambiente de desarrollo formal)</t>
  </si>
  <si>
    <t>* Actualización Diccionario de Datos (BD: SAMRKDB) por requerimientos módulos en desarrollo (Gestor de Préstamos, Gestor de Retiros)
* Actualización Script Migración BD SQL Server a Oracle.
* Documentación Aprovisionamiento Infraestructura SDS (ambiente de desarrollo formal)</t>
  </si>
  <si>
    <t>* Actualización Diccionario de Datos (BD: SAMGSDB) por requerimientos módulos entregados (Módulo Clientes KYC, Rendimientos Brutos)
* Mantenimiento de ambientes de desarrollo (Respaldos, Restauraciones, Reindexación, Optimización) a petición de los programadeores.
* Generación de Script Migración BD SQL Server a Oracle (BD: SAMGSDB).</t>
  </si>
  <si>
    <t>* Documentación Aprovisionamiento Infraestructura SDS (ambiente de desarrollo formal)
* Actualización Diccionario de Datos (BD: SAMGSDB) por requerimientos módulos en desarrollo (Carga Fuentes Externas, Rendimientos Netos, Posición y Flujos de Clientes en Directo)
* Mantenimiento de ambientes de desarrollo (Respaldos, Restauraciones, Reindexación, Optimización) a petición de los programadores.
* Actualización de Script Migración BD SQL Server a Oracle (BD: SAMGSDB).</t>
  </si>
  <si>
    <t>Se estará enviando la conciliación el día de hoy 12-Jun.
Se encontro diferencias,</t>
  </si>
  <si>
    <t>Dispersión del mes</t>
  </si>
  <si>
    <t>Captura del formulario para dispersión de efectivo</t>
  </si>
  <si>
    <t>Incident Management Asegurados</t>
  </si>
  <si>
    <t>Formatos de Matriz PTO - Aseguradoras</t>
  </si>
  <si>
    <t>Llenado de tablero de la wiki- Aseguradoras</t>
  </si>
  <si>
    <t>20, junio</t>
  </si>
  <si>
    <t>Corrección de Bugs - Portal RH</t>
  </si>
  <si>
    <t>Desarrollo</t>
  </si>
  <si>
    <t>Subir al servidor de desarrollo</t>
  </si>
  <si>
    <t>Configuración de Certificado HTTPS</t>
  </si>
  <si>
    <t>En espera de comentarios de Paulo</t>
  </si>
  <si>
    <t>Configuración de Usuario BD Oracle a Producción RH</t>
  </si>
  <si>
    <t>En espera de estatus por parte de Martin y Enrique</t>
  </si>
  <si>
    <r>
      <t xml:space="preserve">Se detiene por indicaciones del Usuario.
</t>
    </r>
    <r>
      <rPr>
        <sz val="11"/>
        <color rgb="FFFF0000"/>
        <rFont val="Aptos Narrow"/>
        <scheme val="minor"/>
      </rPr>
      <t>PROYECTO CANCELADO</t>
    </r>
  </si>
  <si>
    <t>Conciliación Posición 
SISTEMA DE CONCILIACIÓN</t>
  </si>
  <si>
    <r>
      <t xml:space="preserve">Se hace pruebas y se instalará. Se haraá ajustes al titulo del correo.
</t>
    </r>
    <r>
      <rPr>
        <sz val="11"/>
        <color rgb="FFFF0000"/>
        <rFont val="Aptos Narrow"/>
        <scheme val="minor"/>
      </rPr>
      <t/>
    </r>
  </si>
  <si>
    <t>Creación de esquema de RH</t>
  </si>
  <si>
    <t>Validación de actualización de insumos para los 2 nodos de producción RH</t>
  </si>
  <si>
    <t xml:space="preserve">Operación </t>
  </si>
  <si>
    <r>
      <rPr>
        <sz val="11"/>
        <color rgb="FFFF0000"/>
        <rFont val="Aptos Narrow"/>
        <scheme val="minor"/>
      </rPr>
      <t>SE AGREGO UNA COLUMNA PARA VER EL ORIGEN DE LOS CONMTRATOS</t>
    </r>
    <r>
      <rPr>
        <sz val="11"/>
        <color theme="1"/>
        <rFont val="Aptos Narrow"/>
        <family val="2"/>
        <scheme val="minor"/>
      </rPr>
      <t>.</t>
    </r>
  </si>
  <si>
    <t>Se registra ticket para Monitoreo de RH PRO</t>
  </si>
  <si>
    <t>Se solicito asignación directa de la solicitud con Patricia</t>
  </si>
  <si>
    <t>Se registra ticket para solicitar el QAT, QAR para RH PRO</t>
  </si>
  <si>
    <t>En espera de resultados de escaneo y detección de vulnerabilidades</t>
  </si>
  <si>
    <t>Reportes vector y Aladdin</t>
  </si>
  <si>
    <t>Paso 1: loguear en el portal piplatam, ir al apartado de archivosy selecionar el historico de vector analitico</t>
  </si>
  <si>
    <t>Rpa que descargara reportes vector analitico del portal piplatam y del aladdin de forma mensual</t>
  </si>
  <si>
    <t>Paso 2: crear un ciclo de descarga para todos los dias habiles del mes</t>
  </si>
  <si>
    <t>Rpa de apoyo para alex.</t>
  </si>
  <si>
    <t>Paso 3: usar la aplicacion Aladdin view en el apartado de trades y positions</t>
  </si>
  <si>
    <t xml:space="preserve">Paso 4: crear un ciclo de descargas para los archivos mensuales de trades y positions </t>
  </si>
  <si>
    <t>Paso 5: renombrar los archivos y moverlos a una carpeta especifica donde se cargaran al sistema</t>
  </si>
  <si>
    <t>Mejoras</t>
  </si>
  <si>
    <t>al pendiente de observaciones</t>
  </si>
  <si>
    <t>Se cerro y se vuelve a solicitar</t>
  </si>
  <si>
    <t>Solicitud de PTO para monitoreo 2do intento de RH</t>
  </si>
  <si>
    <t>Solicitud de ticket para parcheo de windows en los 2 nodos de producción</t>
  </si>
  <si>
    <t>Solicitud de ticket para parcheo de Linux en los 2 nodos de producción</t>
  </si>
  <si>
    <t xml:space="preserve">Mantenimiento de RPA del reporte daily de global </t>
  </si>
  <si>
    <t>QA de riesgos para RH Producción</t>
  </si>
  <si>
    <t>Cambio de fecha de Golive</t>
  </si>
  <si>
    <t>QAR de intranet para RH Producción</t>
  </si>
  <si>
    <t>Conciliación del mes de Julio</t>
  </si>
  <si>
    <t>Análisis de código y preparación de interfaz</t>
  </si>
  <si>
    <t xml:space="preserve">Lector de Cartas - 5 </t>
  </si>
  <si>
    <t>Desarrollo y QA de carta -BBVA</t>
  </si>
  <si>
    <t>Desarrollo  y QA de carta -NAFIN</t>
  </si>
  <si>
    <t>Desarrollo  y QA de carta -ScotianBanck</t>
  </si>
  <si>
    <t>Desarrollo  y QA de carta -HSBC</t>
  </si>
  <si>
    <t>Desarrollo  y QA de carta -BANAMEX</t>
  </si>
  <si>
    <t>Desarrollo  y QA de carta -FINAMEX CAPITALES</t>
  </si>
  <si>
    <t>UAT y correcciones de carta -BBVA</t>
  </si>
  <si>
    <t>UAT y correccionesde carta -NAFIN</t>
  </si>
  <si>
    <t>UAT y correcciones de carta -ScotianBanck</t>
  </si>
  <si>
    <t>UAT y correcciones de carta -BANAMEX</t>
  </si>
  <si>
    <t>UAT y correcciones de carta -HSBC</t>
  </si>
  <si>
    <t>UAT y correcciones de carta -FINAMEX CAPITALES</t>
  </si>
  <si>
    <t>Análisis</t>
  </si>
  <si>
    <t>Desarrollo y QA</t>
  </si>
  <si>
    <t>En pruebas el mes de mayo</t>
  </si>
  <si>
    <t>Se registró un ticket para el levantamiendo de BD de RH - Producción</t>
  </si>
  <si>
    <t>Registro de ticket para tecleo de pasword de Producción RH</t>
  </si>
  <si>
    <t>Registro de ticket para alta de folio de backup de PTO para RH</t>
  </si>
  <si>
    <t>Registro de ticket para la creación de Usuario de conexión a BD de RH</t>
  </si>
  <si>
    <t>registro de ticket para subir insumos para los 2 nodos de producción RH</t>
  </si>
  <si>
    <t>registro de ticket para creación de BD de RH</t>
  </si>
  <si>
    <t>registro de ticket para tecleo de pasword de Producción RH</t>
  </si>
  <si>
    <t>Registro de ticket de PTO de L0monitoreo RH</t>
  </si>
  <si>
    <t>Registro de ticket para usuario de esquema RH</t>
  </si>
  <si>
    <t>por seguiridad en ambiente productivo queda peniente el Config.</t>
  </si>
  <si>
    <t>En espera del cierre de ticket</t>
  </si>
  <si>
    <t>registro de ticket de tecleo de pasword en DEV - RH</t>
  </si>
  <si>
    <t>IMSS
Reporte</t>
  </si>
  <si>
    <t>Sesión de entendimiento con Usuario - Ricardo Mendoza</t>
  </si>
  <si>
    <t>Espera del Vobo del usuario</t>
  </si>
  <si>
    <t>Paso 1: Ingresar al sitio COVAF AML</t>
  </si>
  <si>
    <t>Paso 2: Buscar la carpeta “Actualización Listas”
Descargar los archivos contenido: export_listas_on_premise_20250617_103109_974_test.zip y guardarlo en alguna carpeta donde se puedan contener los históricos</t>
  </si>
  <si>
    <t>Paso 3: Ingresar al aplicativo de COVAF AML https://srcovilo21amx01.ilm.pre.mx.corp:20095/signin?serviceURL=https://srcovilo21amx01.ilm.pre.mx.corp:20096/</t>
  </si>
  <si>
    <t xml:space="preserve">Paso 4: Ingresar al módulo de “Search/Administrador/Listas On Premise” seleccionar carga listas negras </t>
  </si>
  <si>
    <t>Paso 5: ingresar el archivo que se descargo y realizar la carga</t>
  </si>
  <si>
    <t>Paso 6: Tomar imagen de la pantalla de confirmación de carga y enviar correo confirmando la carga al correo: SistemaPLD_SAMMX@santanderam.com</t>
  </si>
  <si>
    <t>solo falta añadir unos correos adicionales</t>
  </si>
  <si>
    <t xml:space="preserve">En espera de respuesta </t>
  </si>
  <si>
    <t>Encritptación de cadena de conexión a la BD de Oracle depara RH Producción</t>
  </si>
  <si>
    <t>Correo para la fase de PTO L1 para RH</t>
  </si>
  <si>
    <t>Correo para la fase de PTO L0 para RH</t>
  </si>
  <si>
    <t>Correo para la fase de PTO L0 para Aseguradoras</t>
  </si>
  <si>
    <t>Correo para la fase de PTO L1 para Aseguradoras</t>
  </si>
  <si>
    <t>Depende de la atención del PTO RH L0</t>
  </si>
  <si>
    <t>Depende de la atención del PTO Aseguradoras L0</t>
  </si>
  <si>
    <t>Registro de ticket para puerto 1443 firewall</t>
  </si>
  <si>
    <t>Se esta configurando</t>
  </si>
  <si>
    <t>Registro de ticket para puerto 1443 firewall VPN</t>
  </si>
  <si>
    <t>Se cerro por seguridad de Firewall,
Se busca nuevo proceso</t>
  </si>
  <si>
    <t>Registro de ticket para firewall para Red cableada inalambrica puerto 1660</t>
  </si>
  <si>
    <t>Registro de ticket para firewall para VPN puerto 1660</t>
  </si>
  <si>
    <t>Apertura de fase PTO CMDB</t>
  </si>
  <si>
    <t>Conciliación del mes de Agosto</t>
  </si>
  <si>
    <t>Lectura de confirmación de contratos con Instituciones Bancarias y financieras</t>
  </si>
  <si>
    <t>Generación de reporte de operaciones financieras - IMSS</t>
  </si>
  <si>
    <t>Lectura de PDF y conversión a xls para contratos con Bancos y Financieras</t>
  </si>
  <si>
    <t>5.3 Habilitar puerto 1660</t>
  </si>
  <si>
    <t>Registro de ticket troubleshooting para RH</t>
  </si>
  <si>
    <r>
      <t xml:space="preserve">Pruebas con usuario-Ricardo : </t>
    </r>
    <r>
      <rPr>
        <b/>
        <sz val="11"/>
        <color theme="1"/>
        <rFont val="Aptos Narrow"/>
        <family val="2"/>
        <scheme val="minor"/>
      </rPr>
      <t>Ajustes a observaciones</t>
    </r>
    <r>
      <rPr>
        <sz val="11"/>
        <color theme="1"/>
        <rFont val="Aptos Narrow"/>
        <family val="2"/>
        <scheme val="minor"/>
      </rPr>
      <t xml:space="preserve"> </t>
    </r>
  </si>
  <si>
    <t>Registro de ticket para actualización de insumos del portal RH</t>
  </si>
  <si>
    <t>Registrio de ticket para el reinicio de tablero QAR y QAT</t>
  </si>
  <si>
    <t>Falta actualizar tablero</t>
  </si>
  <si>
    <t>Pruebas de insumos del portal RH</t>
  </si>
  <si>
    <t>Conciliación del mes de Septiembre</t>
  </si>
  <si>
    <t>Reporte de Ventas con Daniel</t>
  </si>
  <si>
    <t>Modificación de Macros</t>
  </si>
  <si>
    <t>Se agregaron 3 nuevos contratos al mensual y 2 al semanal</t>
  </si>
  <si>
    <t>Solcicitud de Checklist de la BD</t>
  </si>
  <si>
    <t xml:space="preserve">Reporte de ventas semanal </t>
  </si>
  <si>
    <t>Se requiere de insumo que es un archivo externo para realizar las pruebas</t>
  </si>
  <si>
    <t>Registro de ticket para parcheo de windows de RH</t>
  </si>
  <si>
    <t>Registro de ticket para parcheo de Linux de RH</t>
  </si>
  <si>
    <t>Registro de ticket para parcheo de windows de Aseguradoras</t>
  </si>
  <si>
    <t>Registro de ticket para parcheo de windows de COVAF</t>
  </si>
  <si>
    <t>Registro de ticket para parcheo de Linux COVAF</t>
  </si>
  <si>
    <t>Sesión con equipo de SDS- BD</t>
  </si>
  <si>
    <t>Solicitud de checklist de BD Prod-RH</t>
  </si>
  <si>
    <t>Solicitud de ticket para modificación de usuarios de RH</t>
  </si>
  <si>
    <t>Solicitud de ticket para modificación de usuarios de COVAF</t>
  </si>
  <si>
    <t>Solicitud de ticket para evidencia HA TEST - RH Prod</t>
  </si>
  <si>
    <t>Solicitus de ticket para tecleo de pasword en COVAF- Prodc</t>
  </si>
  <si>
    <t>Solicitud de ticket para desbloque de usuario COVAF</t>
  </si>
  <si>
    <t>Sesiones para el proyecto de Concialiación</t>
  </si>
  <si>
    <t>En conjunto con el apoyo de Alandro M</t>
  </si>
  <si>
    <t>Sesiones diarias para entendimeinto del 22 de sep al 10 marzo</t>
  </si>
  <si>
    <t xml:space="preserve">Atención de Issue de Reportes - </t>
  </si>
  <si>
    <t>Se estava generando 2 reporte de mas y un faltante</t>
  </si>
  <si>
    <t>Alta de 3 cursos de RH</t>
  </si>
  <si>
    <t>Diseño de la BD de seguridad par Conciliación Contable</t>
  </si>
  <si>
    <t>Alta de usuarios - Sistema de RH</t>
  </si>
  <si>
    <t>RPA Flujos Clientes COVAF</t>
  </si>
  <si>
    <t>Paso 1: Ingresar a citrix desde el navegador y abrir la aplicación Clientes Net</t>
  </si>
  <si>
    <t>Paso 2: En Clientes Net ir a la pestaña informes y seleccionar transferencias</t>
  </si>
  <si>
    <t>Paso 3: Aplicar los filtros en la ventana (Externas/Transferencias flujos de efectivo)</t>
  </si>
  <si>
    <t>Paso 4: Seleccionar los parametros de fecha inicial y final según el mes y aceptamos</t>
  </si>
  <si>
    <t>Paso 5: Confirmar ruta de destino y generar el reporte</t>
  </si>
  <si>
    <t>Paso 6: Ingresar al sitio COVAF AML stradata</t>
  </si>
  <si>
    <t>Paso 7: Ir a la seccion analytics despues seleccionar el apartado colecciones</t>
  </si>
  <si>
    <t>Paso 8: Seleccionamos los botones (importar datos/pm operaciones) y cargamos el reporte que se descargo de Clientes Net</t>
  </si>
  <si>
    <t>Paso 9: Se valida la informacion y se acepta la carga,una vez terminada la carga se toma captura de pantalla como evidencia y se envia por correo.</t>
  </si>
  <si>
    <t>Sub-Proyectos</t>
  </si>
  <si>
    <t>Responsable</t>
  </si>
  <si>
    <t>Pre-Producción</t>
  </si>
  <si>
    <t>Producción</t>
  </si>
  <si>
    <t>Sprint #</t>
  </si>
  <si>
    <t>Proceso de Realese, Insumos</t>
  </si>
  <si>
    <t>Conocer el proceso del release para RH Producción</t>
  </si>
  <si>
    <t>Solicitud del Release para RH con Web</t>
  </si>
  <si>
    <t>Publicar la aplicación en Realease</t>
  </si>
  <si>
    <t>Solicitud de Realease para RH con BD</t>
  </si>
  <si>
    <t>Registro de ticket para ejecución de scripts</t>
  </si>
  <si>
    <t>Registro de ticket para asiganción de SP a usuarios de esquema y conexión</t>
  </si>
  <si>
    <t>Pruebas de funcionamiento RH Producción-Release</t>
  </si>
  <si>
    <t>Sesioón de actualización de evaluaciones en RH</t>
  </si>
  <si>
    <t xml:space="preserve">Cambio de estilos de HTML en RH </t>
  </si>
  <si>
    <t>API REUNE</t>
  </si>
  <si>
    <t>Es de escritorio y se pasa a Web</t>
  </si>
  <si>
    <t>Alta Usuario SAMOA</t>
  </si>
  <si>
    <t>Encriptación</t>
  </si>
  <si>
    <t>Convertidor layout operaciones Palmas a COVAF</t>
  </si>
  <si>
    <t>Notificacion usuarios masiva</t>
  </si>
  <si>
    <t>Hasta su VoBo de Pilar</t>
  </si>
  <si>
    <t>Actualización del Home de RH</t>
  </si>
  <si>
    <t>Corrección de áreas asigandas RH</t>
  </si>
  <si>
    <t>Colocar la tabla de cursos asignados</t>
  </si>
  <si>
    <t>Corrección de error - ver detalle de usuario - RH</t>
  </si>
  <si>
    <t>Corrección de error - Asignación de evaluaciones - RH</t>
  </si>
  <si>
    <t>Colocar cursos pendientes</t>
  </si>
  <si>
    <t>Corrección de error - tabla de resultados - RH</t>
  </si>
  <si>
    <t>Conciliación del mes de Octubre</t>
  </si>
  <si>
    <t>Falta VoBo de Javier</t>
  </si>
  <si>
    <t>Aplicación de COVAF
Plataforma de Layouts COVAF</t>
  </si>
  <si>
    <t>suspendido</t>
  </si>
  <si>
    <t>Se realizo una version de Pre-produccion delrpa carga listas y flujos clientes</t>
  </si>
  <si>
    <t>la version del rpa flujos clientes operativa aun no esta lista, falta que se habilite la opcion en los pasos 3, 4, 5</t>
  </si>
  <si>
    <t>Paso 1: Descarga desde el correo el archivo Clientes_ddmmyyyy.xlsx y el archivo Reportes_Familia.zip</t>
  </si>
  <si>
    <t>Complemento del rpa Consulta clientes citrix que corre a las 10pm</t>
  </si>
  <si>
    <t>Paso 2: Se guarda una copia en disco,usandounaruta predeterminada CC_Clientesddmmyyyy</t>
  </si>
  <si>
    <t>Paso 3: Se copian los archivos previamente guardados y se pasan a una ruta de carpetas compartidas en red</t>
  </si>
  <si>
    <t>Archivo de operaciones</t>
  </si>
  <si>
    <t>Archivo de QesQ</t>
  </si>
  <si>
    <t>Proyecto del IMSS</t>
  </si>
  <si>
    <t>Se le dio formato al archivo con base a lo requerido.</t>
  </si>
  <si>
    <t>Se descargaron y enviaron los archivos.</t>
  </si>
  <si>
    <t>Se verificaron los días festivos y se enviaron.</t>
  </si>
  <si>
    <t>Proyecto de conciliacion</t>
  </si>
  <si>
    <t>Desarrollo BAU</t>
  </si>
  <si>
    <t>Se implemnta esquema sec, cnf y core en la base de datos, se realiza Stores y Tablas.</t>
  </si>
  <si>
    <t>31-10.2025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</si>
</sst>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5">
    <font>
      <sz val="11"/>
      <color theme="1"/>
      <name val="Aptos Narrow"/>
      <family val="2"/>
      <scheme val="minor"/>
    </font>
    <font>
      <sz val="11"/>
      <color rgb="FF006100"/>
      <name val="Aptos Narrow"/>
      <family val="2"/>
      <scheme val="minor"/>
    </font>
    <font>
      <sz val="11"/>
      <color theme="0"/>
      <name val="Aptos Narrow"/>
      <family val="2"/>
      <scheme val="minor"/>
    </font>
    <font>
      <sz val="8"/>
      <color theme="0"/>
      <name val="Aptos Narrow"/>
      <family val="2"/>
      <scheme val="minor"/>
    </font>
    <font>
      <sz val="11"/>
      <color theme="1"/>
      <name val="Santander"/>
    </font>
    <font>
      <sz val="11"/>
      <color rgb="FFFF0000"/>
      <name val="Santander"/>
    </font>
    <font>
      <sz val="11"/>
      <color rgb="FF006100"/>
      <name val="Santander"/>
    </font>
    <font>
      <sz val="11"/>
      <name val="Santander"/>
    </font>
    <font>
      <sz val="11"/>
      <color theme="0"/>
      <name val="Santander"/>
    </font>
    <font>
      <sz val="11"/>
      <name val="Aptos Narrow"/>
      <scheme val="minor"/>
    </font>
    <font>
      <sz val="11"/>
      <color theme="1"/>
      <name val="Aptos Narrow"/>
      <family val="2"/>
      <scheme val="minor"/>
    </font>
    <font>
      <sz val="11"/>
      <color rgb="FF9C6500"/>
      <name val="Aptos Narrow"/>
      <family val="2"/>
      <scheme val="minor"/>
    </font>
    <font>
      <sz val="11"/>
      <name val="Aptos Narrow"/>
      <family val="2"/>
      <scheme val="minor"/>
    </font>
    <font>
      <sz val="11"/>
      <color rgb="FF9C5700"/>
      <name val="Aptos Narrow"/>
      <family val="2"/>
      <scheme val="minor"/>
    </font>
    <font>
      <sz val="11"/>
      <color theme="1"/>
      <name val="Santander"/>
      <charset val="134"/>
    </font>
    <font>
      <sz val="11"/>
      <color theme="1"/>
      <name val="Aptos Narrow"/>
      <charset val="134"/>
      <scheme val="minor"/>
    </font>
    <font>
      <sz val="11"/>
      <color rgb="FF006100"/>
      <name val="Aptos Narrow"/>
      <charset val="134"/>
      <scheme val="minor"/>
    </font>
    <font>
      <sz val="11"/>
      <color theme="0"/>
      <name val="Aptos Narrow"/>
      <charset val="134"/>
      <scheme val="minor"/>
    </font>
    <font>
      <sz val="11"/>
      <name val="Aptos Narrow"/>
      <charset val="134"/>
      <scheme val="minor"/>
    </font>
    <font>
      <sz val="11"/>
      <color rgb="FF9C6500"/>
      <name val="Aptos Narrow"/>
      <charset val="134"/>
      <scheme val="minor"/>
    </font>
    <font>
      <sz val="11"/>
      <color rgb="FF9C5700"/>
      <name val="Aptos Narrow"/>
      <charset val="134"/>
      <scheme val="minor"/>
    </font>
    <font>
      <sz val="11"/>
      <color theme="1"/>
      <name val="Santader"/>
    </font>
    <font>
      <sz val="11"/>
      <color rgb="FFFF0000"/>
      <name val="Aptos Narrow"/>
      <scheme val="minor"/>
    </font>
    <font>
      <sz val="11"/>
      <color theme="1"/>
      <name val="Aptos Narrow"/>
      <scheme val="minor"/>
    </font>
    <font>
      <b/>
      <sz val="11"/>
      <color theme="1"/>
      <name val="Aptos Narrow"/>
      <family val="2"/>
      <scheme val="minor"/>
    </font>
  </fonts>
  <fills count="24">
    <fill>
      <patternFill patternType="none"/>
    </fill>
    <fill>
      <patternFill patternType="gray125"/>
    </fill>
    <fill>
      <patternFill patternType="solid">
        <fgColor rgb="FFC6EFCE"/>
      </patternFill>
    </fill>
    <fill>
      <patternFill patternType="solid">
        <fgColor theme="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D9F2D0"/>
        <bgColor rgb="FFD9F2D0"/>
      </patternFill>
    </fill>
    <fill>
      <patternFill patternType="solid">
        <fgColor theme="9" tint="0.59999389629810485"/>
        <bgColor indexed="64"/>
      </patternFill>
    </fill>
    <fill>
      <patternFill patternType="solid">
        <fgColor theme="9" tint="0.79998168889431442"/>
        <bgColor rgb="FFD9F2D0"/>
      </patternFill>
    </fill>
    <fill>
      <patternFill patternType="solid">
        <fgColor theme="9" tint="0.79998168889431442"/>
        <bgColor rgb="FFD9EAD3"/>
      </patternFill>
    </fill>
    <fill>
      <patternFill patternType="solid">
        <fgColor theme="9" tint="0.7999511703848384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EB9C"/>
      </patternFill>
    </fill>
    <fill>
      <patternFill patternType="solid">
        <fgColor theme="4"/>
        <bgColor indexed="64"/>
      </patternFill>
    </fill>
    <fill>
      <patternFill patternType="solid">
        <fgColor theme="0"/>
        <bgColor indexed="64"/>
      </patternFill>
    </fill>
    <fill>
      <patternFill patternType="solid">
        <fgColor rgb="FFC6EFCE"/>
        <bgColor indexed="64"/>
      </patternFill>
    </fill>
    <fill>
      <patternFill patternType="solid">
        <fgColor rgb="FFFFEB9C"/>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7" tint="0.79995117038483843"/>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auto="1"/>
      </left>
      <right style="thin">
        <color auto="1"/>
      </right>
      <top style="thin">
        <color rgb="FF000000"/>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5">
    <xf numFmtId="0" fontId="0" fillId="0" borderId="0"/>
    <xf numFmtId="0" fontId="1" fillId="2" borderId="0" applyNumberFormat="0" applyBorder="0" applyAlignment="0" applyProtection="0"/>
    <xf numFmtId="0" fontId="2" fillId="3" borderId="0" applyNumberFormat="0" applyBorder="0" applyAlignment="0" applyProtection="0"/>
    <xf numFmtId="0" fontId="9" fillId="0" borderId="0"/>
    <xf numFmtId="9" fontId="10" fillId="0" borderId="0" applyFont="0" applyFill="0" applyBorder="0" applyAlignment="0" applyProtection="0"/>
    <xf numFmtId="0" fontId="11" fillId="13" borderId="0" applyNumberFormat="0" applyBorder="0" applyAlignment="0" applyProtection="0"/>
    <xf numFmtId="0" fontId="13" fillId="13" borderId="0" applyNumberFormat="0" applyBorder="0" applyAlignment="0" applyProtection="0"/>
    <xf numFmtId="0" fontId="15" fillId="0" borderId="0"/>
    <xf numFmtId="0" fontId="16" fillId="16" borderId="0" applyNumberFormat="0" applyBorder="0" applyAlignment="0" applyProtection="0"/>
    <xf numFmtId="0" fontId="17" fillId="14" borderId="0" applyNumberFormat="0" applyBorder="0" applyAlignment="0" applyProtection="0"/>
    <xf numFmtId="0" fontId="18" fillId="0" borderId="0"/>
    <xf numFmtId="9" fontId="15" fillId="0" borderId="0" applyFont="0" applyFill="0" applyBorder="0" applyAlignment="0" applyProtection="0"/>
    <xf numFmtId="0" fontId="19" fillId="17" borderId="0" applyNumberFormat="0" applyBorder="0" applyAlignment="0" applyProtection="0"/>
    <xf numFmtId="0" fontId="20" fillId="17" borderId="0" applyNumberFormat="0" applyBorder="0" applyAlignment="0" applyProtection="0"/>
    <xf numFmtId="44" fontId="10" fillId="0" borderId="0" applyFont="0" applyFill="0" applyBorder="0" applyAlignment="0" applyProtection="0"/>
  </cellStyleXfs>
  <cellXfs count="202">
    <xf numFmtId="0" fontId="0" fillId="0" borderId="0" xfId="0"/>
    <xf numFmtId="0" fontId="3" fillId="3" borderId="1" xfId="2" applyFont="1" applyBorder="1" applyAlignment="1">
      <alignment horizontal="center" vertical="center" wrapText="1"/>
    </xf>
    <xf numFmtId="0" fontId="3" fillId="3" borderId="1" xfId="2" applyFont="1" applyBorder="1" applyAlignment="1">
      <alignment horizontal="center" vertical="center"/>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1" applyFont="1" applyFill="1" applyBorder="1" applyAlignment="1">
      <alignment horizontal="center" vertical="center" wrapText="1"/>
    </xf>
    <xf numFmtId="9" fontId="4" fillId="4" borderId="1" xfId="0" applyNumberFormat="1" applyFont="1" applyFill="1" applyBorder="1" applyAlignment="1">
      <alignment horizontal="center" vertical="center" wrapText="1"/>
    </xf>
    <xf numFmtId="15" fontId="4" fillId="4"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top" wrapText="1"/>
    </xf>
    <xf numFmtId="0" fontId="4" fillId="0" borderId="0" xfId="0" applyFont="1" applyAlignment="1">
      <alignment horizontal="center" vertical="center"/>
    </xf>
    <xf numFmtId="0" fontId="8" fillId="3" borderId="1" xfId="2" applyFont="1" applyBorder="1" applyAlignment="1">
      <alignment horizontal="center" vertical="center" wrapText="1"/>
    </xf>
    <xf numFmtId="0" fontId="8" fillId="3" borderId="1" xfId="2" applyFont="1" applyBorder="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6"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9" fontId="7" fillId="5" borderId="2" xfId="0" applyNumberFormat="1" applyFont="1" applyFill="1" applyBorder="1" applyAlignment="1">
      <alignment horizontal="center" vertical="center" wrapText="1"/>
    </xf>
    <xf numFmtId="16" fontId="7" fillId="5"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9" fontId="7" fillId="0" borderId="2" xfId="0" applyNumberFormat="1" applyFont="1" applyBorder="1" applyAlignment="1">
      <alignment horizontal="center" vertical="center" wrapText="1"/>
    </xf>
    <xf numFmtId="16" fontId="7" fillId="0" borderId="2" xfId="0" applyNumberFormat="1" applyFont="1" applyBorder="1" applyAlignment="1">
      <alignment horizontal="center" vertical="center" wrapText="1"/>
    </xf>
    <xf numFmtId="0" fontId="4" fillId="7" borderId="1" xfId="0" applyFont="1" applyFill="1" applyBorder="1" applyAlignment="1">
      <alignment horizontal="center" vertical="center" wrapText="1"/>
    </xf>
    <xf numFmtId="49" fontId="4" fillId="7" borderId="1" xfId="0" applyNumberFormat="1" applyFont="1" applyFill="1" applyBorder="1" applyAlignment="1">
      <alignment horizontal="center" vertical="top" wrapText="1"/>
    </xf>
    <xf numFmtId="0" fontId="6" fillId="7" borderId="1" xfId="1" applyFont="1" applyFill="1" applyBorder="1" applyAlignment="1">
      <alignment horizontal="center" vertical="center" wrapText="1"/>
    </xf>
    <xf numFmtId="9" fontId="4" fillId="7" borderId="1" xfId="0" applyNumberFormat="1" applyFont="1" applyFill="1" applyBorder="1" applyAlignment="1">
      <alignment horizontal="center" vertical="center" wrapText="1"/>
    </xf>
    <xf numFmtId="15" fontId="4" fillId="7" borderId="1" xfId="0" applyNumberFormat="1" applyFont="1" applyFill="1" applyBorder="1" applyAlignment="1">
      <alignment horizontal="center" vertical="center" wrapText="1"/>
    </xf>
    <xf numFmtId="0" fontId="7" fillId="8" borderId="2" xfId="0" applyFont="1" applyFill="1" applyBorder="1" applyAlignment="1">
      <alignment horizontal="center" vertical="center" wrapText="1"/>
    </xf>
    <xf numFmtId="9" fontId="7" fillId="8" borderId="2" xfId="0" applyNumberFormat="1" applyFont="1" applyFill="1" applyBorder="1" applyAlignment="1">
      <alignment horizontal="center" vertical="center" wrapText="1"/>
    </xf>
    <xf numFmtId="16" fontId="7" fillId="8" borderId="2" xfId="0" applyNumberFormat="1" applyFont="1" applyFill="1" applyBorder="1" applyAlignment="1">
      <alignment horizontal="center" vertical="center" wrapText="1"/>
    </xf>
    <xf numFmtId="0" fontId="7" fillId="9" borderId="2" xfId="0" applyFont="1" applyFill="1" applyBorder="1" applyAlignment="1">
      <alignment horizontal="center" vertical="center" wrapText="1"/>
    </xf>
    <xf numFmtId="9" fontId="7" fillId="9" borderId="2" xfId="0" applyNumberFormat="1" applyFont="1" applyFill="1" applyBorder="1" applyAlignment="1">
      <alignment horizontal="center" vertical="center" wrapText="1"/>
    </xf>
    <xf numFmtId="16" fontId="7" fillId="9"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9" fontId="7" fillId="10" borderId="2" xfId="0" applyNumberFormat="1" applyFont="1" applyFill="1" applyBorder="1" applyAlignment="1">
      <alignment horizontal="center" vertical="center" wrapText="1"/>
    </xf>
    <xf numFmtId="16" fontId="7" fillId="10" borderId="2" xfId="0" applyNumberFormat="1" applyFont="1" applyFill="1" applyBorder="1" applyAlignment="1">
      <alignment horizontal="center" vertical="center" wrapText="1"/>
    </xf>
    <xf numFmtId="0" fontId="4" fillId="0" borderId="3" xfId="0" applyFont="1" applyBorder="1" applyAlignment="1">
      <alignment horizontal="center" vertical="center" wrapText="1"/>
    </xf>
    <xf numFmtId="0" fontId="4" fillId="5" borderId="2" xfId="0" applyFont="1" applyFill="1" applyBorder="1" applyAlignment="1">
      <alignment horizontal="center" vertical="center" wrapText="1"/>
    </xf>
    <xf numFmtId="16" fontId="4" fillId="5"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10" fillId="0" borderId="0" xfId="0" applyFont="1"/>
    <xf numFmtId="0" fontId="10" fillId="0" borderId="0" xfId="0" applyFont="1" applyAlignment="1">
      <alignment wrapText="1"/>
    </xf>
    <xf numFmtId="0" fontId="7" fillId="4" borderId="2" xfId="0" applyFont="1" applyFill="1" applyBorder="1" applyAlignment="1">
      <alignment horizontal="center" vertical="center" wrapText="1"/>
    </xf>
    <xf numFmtId="9" fontId="7" fillId="4" borderId="2" xfId="0" applyNumberFormat="1" applyFont="1" applyFill="1" applyBorder="1" applyAlignment="1">
      <alignment horizontal="center" vertical="center" wrapText="1"/>
    </xf>
    <xf numFmtId="16" fontId="7" fillId="4" borderId="2" xfId="0" applyNumberFormat="1" applyFont="1" applyFill="1" applyBorder="1" applyAlignment="1">
      <alignment horizontal="center" vertical="center" wrapText="1"/>
    </xf>
    <xf numFmtId="0" fontId="5" fillId="0" borderId="0" xfId="0" applyFont="1" applyAlignment="1">
      <alignment horizontal="center" vertical="center"/>
    </xf>
    <xf numFmtId="49" fontId="4" fillId="7" borderId="1" xfId="0" applyNumberFormat="1" applyFont="1" applyFill="1" applyBorder="1" applyAlignment="1">
      <alignment horizontal="center" vertical="center" wrapText="1"/>
    </xf>
    <xf numFmtId="0" fontId="7" fillId="7" borderId="1" xfId="1" applyFont="1" applyFill="1" applyBorder="1" applyAlignment="1">
      <alignment horizontal="center" vertical="center" wrapText="1"/>
    </xf>
    <xf numFmtId="0" fontId="5" fillId="5" borderId="2" xfId="0" applyFont="1" applyFill="1" applyBorder="1" applyAlignment="1">
      <alignment horizontal="center" vertical="center" wrapText="1"/>
    </xf>
    <xf numFmtId="49" fontId="5" fillId="7" borderId="1" xfId="0" applyNumberFormat="1" applyFont="1" applyFill="1" applyBorder="1" applyAlignment="1">
      <alignment horizontal="center" vertical="top" wrapText="1"/>
    </xf>
    <xf numFmtId="0" fontId="4"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4" fillId="12" borderId="1" xfId="0" applyFont="1" applyFill="1" applyBorder="1" applyAlignment="1">
      <alignment horizontal="center" vertical="center" wrapText="1"/>
    </xf>
    <xf numFmtId="9" fontId="4" fillId="5" borderId="2" xfId="4" applyFont="1" applyFill="1" applyBorder="1" applyAlignment="1">
      <alignment horizontal="center" vertical="center" wrapText="1"/>
    </xf>
    <xf numFmtId="0" fontId="4" fillId="11" borderId="2" xfId="0" applyFont="1" applyFill="1" applyBorder="1" applyAlignment="1">
      <alignment horizontal="center" vertical="center" wrapText="1"/>
    </xf>
    <xf numFmtId="0" fontId="5" fillId="7" borderId="1" xfId="1" applyFont="1" applyFill="1" applyBorder="1" applyAlignment="1">
      <alignment horizontal="center" vertical="center" wrapText="1"/>
    </xf>
    <xf numFmtId="16" fontId="0" fillId="5" borderId="3" xfId="0" applyNumberFormat="1" applyFill="1" applyBorder="1" applyAlignment="1">
      <alignment horizontal="center" vertical="center" wrapText="1"/>
    </xf>
    <xf numFmtId="0" fontId="4" fillId="5" borderId="3" xfId="0" applyFont="1" applyFill="1" applyBorder="1" applyAlignment="1">
      <alignment horizontal="center" vertical="center" wrapText="1"/>
    </xf>
    <xf numFmtId="16" fontId="0" fillId="5" borderId="2" xfId="0" applyNumberFormat="1" applyFill="1" applyBorder="1" applyAlignment="1">
      <alignment horizontal="center" vertical="center" wrapText="1"/>
    </xf>
    <xf numFmtId="0" fontId="7"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9" fontId="4" fillId="12" borderId="1" xfId="0" applyNumberFormat="1" applyFont="1" applyFill="1" applyBorder="1" applyAlignment="1">
      <alignment horizontal="center" vertical="center"/>
    </xf>
    <xf numFmtId="0" fontId="4" fillId="12" borderId="1" xfId="0" applyFont="1" applyFill="1" applyBorder="1" applyAlignment="1">
      <alignment horizontal="center" vertical="center"/>
    </xf>
    <xf numFmtId="16" fontId="4" fillId="12" borderId="1" xfId="0" applyNumberFormat="1" applyFont="1" applyFill="1" applyBorder="1" applyAlignment="1">
      <alignment horizontal="center" vertical="center"/>
    </xf>
    <xf numFmtId="14" fontId="4" fillId="12" borderId="1" xfId="0" applyNumberFormat="1" applyFont="1" applyFill="1" applyBorder="1" applyAlignment="1">
      <alignment horizontal="center" vertical="center"/>
    </xf>
    <xf numFmtId="0" fontId="4" fillId="0" borderId="0" xfId="0" applyFont="1" applyAlignment="1">
      <alignment wrapText="1"/>
    </xf>
    <xf numFmtId="0" fontId="4" fillId="0" borderId="0" xfId="0" applyFont="1"/>
    <xf numFmtId="9" fontId="14" fillId="5" borderId="2" xfId="7" applyNumberFormat="1" applyFont="1" applyFill="1" applyBorder="1" applyAlignment="1">
      <alignment horizontal="center" vertical="center" wrapText="1"/>
    </xf>
    <xf numFmtId="9" fontId="14" fillId="5" borderId="3" xfId="7" applyNumberFormat="1" applyFont="1" applyFill="1" applyBorder="1" applyAlignment="1">
      <alignment horizontal="center" vertical="center" wrapText="1"/>
    </xf>
    <xf numFmtId="9" fontId="14" fillId="15" borderId="2" xfId="7" applyNumberFormat="1" applyFont="1" applyFill="1" applyBorder="1" applyAlignment="1">
      <alignment horizontal="center" vertical="center" wrapText="1"/>
    </xf>
    <xf numFmtId="0" fontId="14" fillId="15" borderId="2" xfId="7" applyFont="1" applyFill="1" applyBorder="1" applyAlignment="1">
      <alignment horizontal="center" vertical="center" wrapText="1"/>
    </xf>
    <xf numFmtId="16" fontId="0" fillId="15" borderId="2" xfId="0" applyNumberFormat="1" applyFill="1" applyBorder="1" applyAlignment="1">
      <alignment horizontal="center" vertical="center" wrapText="1"/>
    </xf>
    <xf numFmtId="0" fontId="4" fillId="15" borderId="2" xfId="0" applyFont="1" applyFill="1" applyBorder="1" applyAlignment="1">
      <alignment horizontal="center" vertical="center" wrapText="1"/>
    </xf>
    <xf numFmtId="9" fontId="0" fillId="0" borderId="0" xfId="4" applyFont="1"/>
    <xf numFmtId="0" fontId="0" fillId="0" borderId="0" xfId="0" applyAlignment="1">
      <alignment horizontal="center" vertical="center"/>
    </xf>
    <xf numFmtId="9" fontId="4" fillId="5" borderId="2" xfId="0" applyNumberFormat="1" applyFont="1" applyFill="1" applyBorder="1" applyAlignment="1">
      <alignment horizontal="center" vertical="center" wrapText="1"/>
    </xf>
    <xf numFmtId="0" fontId="4" fillId="11" borderId="3" xfId="0" applyFont="1" applyFill="1" applyBorder="1" applyAlignment="1">
      <alignment horizontal="center" vertical="center" wrapText="1"/>
    </xf>
    <xf numFmtId="9" fontId="4" fillId="11" borderId="3" xfId="0" applyNumberFormat="1" applyFont="1" applyFill="1" applyBorder="1" applyAlignment="1">
      <alignment horizontal="center" vertical="center" wrapText="1"/>
    </xf>
    <xf numFmtId="16" fontId="4" fillId="11" borderId="3"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9" fontId="0" fillId="0" borderId="1" xfId="4" applyFont="1" applyBorder="1"/>
    <xf numFmtId="0" fontId="0" fillId="0" borderId="1" xfId="0" applyBorder="1" applyAlignment="1">
      <alignment wrapText="1"/>
    </xf>
    <xf numFmtId="0" fontId="4" fillId="12" borderId="2" xfId="0" applyFont="1" applyFill="1" applyBorder="1" applyAlignment="1">
      <alignment horizontal="center" vertical="center" wrapText="1"/>
    </xf>
    <xf numFmtId="0" fontId="0" fillId="0" borderId="4" xfId="0" applyBorder="1"/>
    <xf numFmtId="0" fontId="0" fillId="0" borderId="0" xfId="0" applyAlignment="1">
      <alignment horizontal="center"/>
    </xf>
    <xf numFmtId="9" fontId="0" fillId="0" borderId="0" xfId="4" applyFont="1" applyBorder="1"/>
    <xf numFmtId="0" fontId="0" fillId="0" borderId="0" xfId="0" applyAlignment="1">
      <alignment wrapText="1"/>
    </xf>
    <xf numFmtId="0" fontId="4" fillId="11" borderId="0" xfId="0" applyFont="1" applyFill="1" applyAlignment="1">
      <alignment horizontal="center" vertical="center" wrapText="1"/>
    </xf>
    <xf numFmtId="16" fontId="4" fillId="0" borderId="0" xfId="0" applyNumberFormat="1" applyFont="1" applyAlignment="1">
      <alignment horizontal="center" vertical="center"/>
    </xf>
    <xf numFmtId="9" fontId="4" fillId="11" borderId="1" xfId="0" applyNumberFormat="1" applyFont="1" applyFill="1" applyBorder="1" applyAlignment="1">
      <alignment horizontal="center" vertical="center" wrapText="1"/>
    </xf>
    <xf numFmtId="16" fontId="4" fillId="11" borderId="1" xfId="0" applyNumberFormat="1" applyFont="1" applyFill="1" applyBorder="1" applyAlignment="1">
      <alignment horizontal="center" vertical="center" wrapText="1"/>
    </xf>
    <xf numFmtId="0" fontId="4" fillId="0" borderId="1" xfId="0" applyFont="1" applyBorder="1" applyAlignment="1">
      <alignment wrapText="1"/>
    </xf>
    <xf numFmtId="0" fontId="4" fillId="0" borderId="1" xfId="0" applyFont="1" applyBorder="1"/>
    <xf numFmtId="9" fontId="4" fillId="5" borderId="3" xfId="0" applyNumberFormat="1" applyFont="1" applyFill="1" applyBorder="1" applyAlignment="1">
      <alignment horizontal="center" vertical="center" wrapText="1"/>
    </xf>
    <xf numFmtId="0" fontId="0" fillId="5" borderId="0" xfId="0" applyFill="1" applyAlignment="1">
      <alignment vertical="center"/>
    </xf>
    <xf numFmtId="0" fontId="0" fillId="0" borderId="0" xfId="0" applyAlignment="1">
      <alignment vertical="center"/>
    </xf>
    <xf numFmtId="20" fontId="0" fillId="5" borderId="0" xfId="0" applyNumberFormat="1" applyFill="1" applyAlignment="1">
      <alignment vertical="center"/>
    </xf>
    <xf numFmtId="0" fontId="0" fillId="12" borderId="0" xfId="0" applyFill="1" applyAlignment="1">
      <alignment vertical="center"/>
    </xf>
    <xf numFmtId="20" fontId="0" fillId="12" borderId="0" xfId="0" applyNumberFormat="1" applyFill="1" applyAlignment="1">
      <alignment vertical="center"/>
    </xf>
    <xf numFmtId="0" fontId="4" fillId="5" borderId="5" xfId="0" applyFont="1" applyFill="1" applyBorder="1" applyAlignment="1">
      <alignment horizontal="center" vertical="center" wrapText="1"/>
    </xf>
    <xf numFmtId="9" fontId="4" fillId="5" borderId="5" xfId="0" applyNumberFormat="1" applyFont="1" applyFill="1" applyBorder="1" applyAlignment="1">
      <alignment horizontal="center" vertical="center" wrapText="1"/>
    </xf>
    <xf numFmtId="16" fontId="4" fillId="5" borderId="5" xfId="0" applyNumberFormat="1"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16" fontId="4" fillId="5" borderId="1" xfId="0" applyNumberFormat="1" applyFont="1" applyFill="1" applyBorder="1" applyAlignment="1">
      <alignment horizontal="center" vertical="center" wrapText="1"/>
    </xf>
    <xf numFmtId="0" fontId="2" fillId="18" borderId="0" xfId="0" applyFont="1" applyFill="1"/>
    <xf numFmtId="0" fontId="0" fillId="0" borderId="0" xfId="0" applyAlignment="1">
      <alignment vertical="center" wrapText="1"/>
    </xf>
    <xf numFmtId="15"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7" borderId="1" xfId="0" applyFill="1" applyBorder="1" applyAlignment="1">
      <alignment wrapText="1"/>
    </xf>
    <xf numFmtId="0" fontId="0" fillId="7" borderId="1" xfId="0" applyFill="1" applyBorder="1"/>
    <xf numFmtId="49" fontId="7" fillId="7" borderId="1" xfId="0" applyNumberFormat="1"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21" fillId="0" borderId="0" xfId="0" applyFont="1"/>
    <xf numFmtId="0" fontId="21" fillId="0" borderId="0" xfId="0" applyFont="1" applyAlignment="1">
      <alignment horizontal="center" vertical="center"/>
    </xf>
    <xf numFmtId="0" fontId="2" fillId="18" borderId="0" xfId="0" applyFont="1" applyFill="1" applyAlignment="1">
      <alignment horizontal="center" vertical="center"/>
    </xf>
    <xf numFmtId="0" fontId="4" fillId="11"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20" borderId="1" xfId="0" applyFont="1" applyFill="1" applyBorder="1" applyAlignment="1">
      <alignment horizontal="center" vertical="center" wrapText="1"/>
    </xf>
    <xf numFmtId="9" fontId="0" fillId="7" borderId="1" xfId="0" applyNumberFormat="1" applyFill="1" applyBorder="1" applyAlignment="1">
      <alignment horizontal="center"/>
    </xf>
    <xf numFmtId="0" fontId="0" fillId="19" borderId="0" xfId="0" applyFill="1"/>
    <xf numFmtId="49" fontId="0" fillId="19" borderId="0" xfId="0" applyNumberFormat="1" applyFill="1"/>
    <xf numFmtId="15" fontId="0" fillId="0" borderId="0" xfId="0" applyNumberFormat="1"/>
    <xf numFmtId="49" fontId="0" fillId="0" borderId="0" xfId="0" applyNumberFormat="1" applyAlignment="1">
      <alignment wrapText="1"/>
    </xf>
    <xf numFmtId="0" fontId="23" fillId="7" borderId="1" xfId="0" applyFont="1" applyFill="1" applyBorder="1" applyAlignment="1">
      <alignment wrapText="1"/>
    </xf>
    <xf numFmtId="0" fontId="4" fillId="7" borderId="1" xfId="0" applyFont="1" applyFill="1" applyBorder="1" applyAlignment="1">
      <alignment horizontal="center" vertical="center"/>
    </xf>
    <xf numFmtId="9" fontId="4" fillId="7" borderId="1" xfId="0" applyNumberFormat="1" applyFont="1" applyFill="1" applyBorder="1" applyAlignment="1">
      <alignment horizontal="center" vertical="center"/>
    </xf>
    <xf numFmtId="16" fontId="4" fillId="7" borderId="1" xfId="0" applyNumberFormat="1" applyFont="1" applyFill="1" applyBorder="1" applyAlignment="1">
      <alignment horizontal="center" vertical="center"/>
    </xf>
    <xf numFmtId="0" fontId="7" fillId="7" borderId="1" xfId="0" applyFont="1" applyFill="1" applyBorder="1" applyAlignment="1">
      <alignment horizontal="center" vertical="center" wrapText="1"/>
    </xf>
    <xf numFmtId="14" fontId="4" fillId="7" borderId="1" xfId="0" applyNumberFormat="1" applyFont="1" applyFill="1" applyBorder="1" applyAlignment="1">
      <alignment horizontal="center" vertical="center"/>
    </xf>
    <xf numFmtId="0" fontId="9" fillId="7" borderId="1" xfId="5" applyFont="1" applyFill="1" applyBorder="1" applyAlignment="1">
      <alignment horizontal="center" vertical="center" wrapText="1"/>
    </xf>
    <xf numFmtId="0" fontId="12" fillId="7" borderId="1" xfId="5" applyFont="1" applyFill="1" applyBorder="1" applyAlignment="1">
      <alignment horizontal="center" vertical="center"/>
    </xf>
    <xf numFmtId="16" fontId="12" fillId="7" borderId="1" xfId="5" applyNumberFormat="1" applyFont="1" applyFill="1" applyBorder="1" applyAlignment="1">
      <alignment horizontal="center" vertical="center"/>
    </xf>
    <xf numFmtId="16" fontId="7" fillId="7" borderId="1" xfId="0" applyNumberFormat="1" applyFont="1" applyFill="1" applyBorder="1" applyAlignment="1">
      <alignment horizontal="center" vertical="center"/>
    </xf>
    <xf numFmtId="0" fontId="12" fillId="7" borderId="1" xfId="1" applyFont="1" applyFill="1" applyBorder="1" applyAlignment="1">
      <alignment horizontal="center" vertical="center" wrapText="1"/>
    </xf>
    <xf numFmtId="0" fontId="12" fillId="7" borderId="1" xfId="1" applyFont="1" applyFill="1" applyBorder="1" applyAlignment="1">
      <alignment horizontal="center" vertical="center"/>
    </xf>
    <xf numFmtId="16" fontId="12" fillId="7" borderId="1" xfId="1" applyNumberFormat="1" applyFont="1" applyFill="1" applyBorder="1" applyAlignment="1">
      <alignment horizontal="center" vertical="center"/>
    </xf>
    <xf numFmtId="0" fontId="4" fillId="7" borderId="0" xfId="0" applyFont="1" applyFill="1" applyAlignment="1">
      <alignment horizontal="center" vertical="center"/>
    </xf>
    <xf numFmtId="9" fontId="0" fillId="5" borderId="1" xfId="0" applyNumberFormat="1" applyFill="1" applyBorder="1" applyAlignment="1">
      <alignment horizontal="center" vertical="center" wrapText="1"/>
    </xf>
    <xf numFmtId="0" fontId="0" fillId="5" borderId="1" xfId="0" applyFill="1" applyBorder="1" applyAlignment="1">
      <alignment horizontal="center" vertical="center" wrapText="1"/>
    </xf>
    <xf numFmtId="16" fontId="0" fillId="5" borderId="1" xfId="0" applyNumberFormat="1" applyFill="1" applyBorder="1" applyAlignment="1">
      <alignment horizontal="center" vertical="center" wrapText="1"/>
    </xf>
    <xf numFmtId="0" fontId="0" fillId="7" borderId="1" xfId="0" applyFill="1" applyBorder="1" applyAlignment="1">
      <alignment horizontal="center"/>
    </xf>
    <xf numFmtId="0" fontId="0" fillId="7" borderId="1" xfId="0" applyFill="1" applyBorder="1" applyAlignment="1">
      <alignment horizontal="center" wrapText="1"/>
    </xf>
    <xf numFmtId="0" fontId="5" fillId="7" borderId="1" xfId="0" applyFont="1" applyFill="1" applyBorder="1" applyAlignment="1">
      <alignment horizontal="center" vertical="center" wrapText="1"/>
    </xf>
    <xf numFmtId="9" fontId="0" fillId="7" borderId="1" xfId="0" applyNumberFormat="1" applyFill="1" applyBorder="1" applyAlignment="1">
      <alignment horizontal="center" vertical="center"/>
    </xf>
    <xf numFmtId="0" fontId="4" fillId="5" borderId="1" xfId="0" applyFont="1" applyFill="1" applyBorder="1" applyAlignment="1">
      <alignment horizontal="center" vertical="center"/>
    </xf>
    <xf numFmtId="9" fontId="4" fillId="5" borderId="1" xfId="0" applyNumberFormat="1" applyFont="1" applyFill="1" applyBorder="1" applyAlignment="1">
      <alignment horizontal="center" vertical="center"/>
    </xf>
    <xf numFmtId="16" fontId="4" fillId="5" borderId="1" xfId="0" applyNumberFormat="1" applyFont="1" applyFill="1" applyBorder="1" applyAlignment="1">
      <alignment horizontal="center" vertical="center"/>
    </xf>
    <xf numFmtId="16" fontId="4" fillId="11" borderId="1" xfId="0" applyNumberFormat="1" applyFont="1" applyFill="1" applyBorder="1" applyAlignment="1">
      <alignment horizontal="center" vertical="center"/>
    </xf>
    <xf numFmtId="0" fontId="4" fillId="15" borderId="0" xfId="0" applyFont="1" applyFill="1" applyAlignment="1">
      <alignment horizontal="center" vertical="center" wrapText="1"/>
    </xf>
    <xf numFmtId="9" fontId="4" fillId="15" borderId="0" xfId="0" applyNumberFormat="1" applyFont="1" applyFill="1" applyAlignment="1">
      <alignment horizontal="center" vertical="center"/>
    </xf>
    <xf numFmtId="16" fontId="4" fillId="15" borderId="0" xfId="0" applyNumberFormat="1" applyFont="1" applyFill="1" applyAlignment="1">
      <alignment horizontal="center" vertical="center"/>
    </xf>
    <xf numFmtId="0" fontId="0" fillId="21" borderId="1" xfId="0" applyFill="1" applyBorder="1"/>
    <xf numFmtId="0" fontId="0" fillId="21" borderId="1" xfId="0" applyFill="1" applyBorder="1" applyAlignment="1">
      <alignment horizontal="center" vertical="center"/>
    </xf>
    <xf numFmtId="9" fontId="0" fillId="21" borderId="1" xfId="4" applyFont="1" applyFill="1" applyBorder="1"/>
    <xf numFmtId="0" fontId="4" fillId="7" borderId="0" xfId="0" applyFont="1" applyFill="1" applyAlignment="1">
      <alignment horizontal="center" vertical="center" wrapText="1"/>
    </xf>
    <xf numFmtId="0" fontId="14" fillId="11" borderId="1" xfId="0" applyFont="1" applyFill="1" applyBorder="1" applyAlignment="1">
      <alignment horizontal="center" vertical="center" wrapText="1"/>
    </xf>
    <xf numFmtId="0" fontId="14" fillId="11" borderId="1" xfId="0" applyFont="1" applyFill="1" applyBorder="1" applyAlignment="1">
      <alignment horizontal="center" vertical="center"/>
    </xf>
    <xf numFmtId="9" fontId="14" fillId="11" borderId="1" xfId="0" applyNumberFormat="1" applyFont="1" applyFill="1" applyBorder="1" applyAlignment="1">
      <alignment horizontal="center" vertical="center"/>
    </xf>
    <xf numFmtId="16" fontId="14" fillId="11" borderId="1" xfId="0" applyNumberFormat="1" applyFont="1" applyFill="1" applyBorder="1" applyAlignment="1">
      <alignment horizontal="center" vertical="center"/>
    </xf>
    <xf numFmtId="9" fontId="7" fillId="7" borderId="1" xfId="4" applyFont="1" applyFill="1" applyBorder="1" applyAlignment="1">
      <alignment horizontal="center" vertical="center" wrapText="1"/>
    </xf>
    <xf numFmtId="15" fontId="4" fillId="0" borderId="1" xfId="0" applyNumberFormat="1" applyFont="1" applyBorder="1" applyAlignment="1">
      <alignment horizontal="center" vertical="center" wrapText="1"/>
    </xf>
    <xf numFmtId="0" fontId="4" fillId="15" borderId="1" xfId="0" applyFont="1" applyFill="1" applyBorder="1" applyAlignment="1">
      <alignment horizontal="center" vertical="center" wrapText="1"/>
    </xf>
    <xf numFmtId="16" fontId="4" fillId="15" borderId="1" xfId="0" applyNumberFormat="1" applyFont="1" applyFill="1" applyBorder="1" applyAlignment="1">
      <alignment horizontal="center" vertical="center"/>
    </xf>
    <xf numFmtId="0" fontId="4" fillId="7" borderId="6" xfId="0" applyFont="1" applyFill="1" applyBorder="1" applyAlignment="1">
      <alignment horizontal="center" vertical="center" wrapText="1"/>
    </xf>
    <xf numFmtId="9" fontId="4" fillId="7" borderId="6" xfId="0" applyNumberFormat="1" applyFont="1" applyFill="1" applyBorder="1" applyAlignment="1">
      <alignment horizontal="center" vertical="center"/>
    </xf>
    <xf numFmtId="16" fontId="4" fillId="7" borderId="6" xfId="0" applyNumberFormat="1" applyFont="1" applyFill="1" applyBorder="1" applyAlignment="1">
      <alignment horizontal="center" vertical="center"/>
    </xf>
    <xf numFmtId="0" fontId="4" fillId="15" borderId="1" xfId="0" applyFont="1" applyFill="1" applyBorder="1" applyAlignment="1">
      <alignment horizontal="center" vertical="center"/>
    </xf>
    <xf numFmtId="0" fontId="0" fillId="22" borderId="0" xfId="0" applyFill="1"/>
    <xf numFmtId="0" fontId="0" fillId="0" borderId="1" xfId="0" applyBorder="1" applyAlignment="1">
      <alignment horizontal="center"/>
    </xf>
    <xf numFmtId="0" fontId="5" fillId="15"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9" fontId="0" fillId="0" borderId="1" xfId="0" applyNumberFormat="1" applyBorder="1"/>
    <xf numFmtId="0" fontId="0" fillId="23" borderId="1" xfId="0" applyFill="1" applyBorder="1" applyAlignment="1">
      <alignment vertical="center" wrapText="1"/>
    </xf>
    <xf numFmtId="20" fontId="0" fillId="23" borderId="1" xfId="0" applyNumberFormat="1" applyFill="1" applyBorder="1" applyAlignment="1">
      <alignment vertical="center"/>
    </xf>
    <xf numFmtId="0" fontId="0" fillId="23" borderId="0" xfId="0" applyFill="1" applyAlignment="1">
      <alignment vertical="center"/>
    </xf>
    <xf numFmtId="0" fontId="0" fillId="10" borderId="1" xfId="0" applyFill="1" applyBorder="1" applyAlignment="1">
      <alignment vertical="center" wrapText="1"/>
    </xf>
    <xf numFmtId="20" fontId="0" fillId="10" borderId="1" xfId="0" applyNumberFormat="1" applyFill="1" applyBorder="1" applyAlignment="1">
      <alignment vertical="center"/>
    </xf>
    <xf numFmtId="0" fontId="14" fillId="0" borderId="0" xfId="0" applyFont="1" applyAlignment="1">
      <alignment horizontal="center" vertical="center" wrapText="1"/>
    </xf>
    <xf numFmtId="0" fontId="14" fillId="0" borderId="0" xfId="0" applyFont="1" applyAlignment="1">
      <alignment horizontal="center" vertical="center"/>
    </xf>
    <xf numFmtId="9" fontId="14" fillId="0" borderId="0" xfId="0" applyNumberFormat="1" applyFont="1" applyAlignment="1">
      <alignment horizontal="center" vertical="center"/>
    </xf>
    <xf numFmtId="16" fontId="14" fillId="0" borderId="0" xfId="0" applyNumberFormat="1" applyFont="1" applyAlignment="1">
      <alignment horizontal="center" vertical="center"/>
    </xf>
    <xf numFmtId="44" fontId="10" fillId="0" borderId="0" xfId="14" applyFont="1"/>
    <xf numFmtId="44" fontId="10" fillId="0" borderId="0" xfId="0" applyNumberFormat="1" applyFont="1"/>
    <xf numFmtId="0" fontId="0" fillId="0" borderId="1" xfId="0" applyBorder="1" applyAlignment="1">
      <alignment horizontal="center" vertical="center"/>
    </xf>
    <xf numFmtId="0" fontId="0" fillId="0" borderId="1" xfId="0" applyBorder="1" applyAlignment="1">
      <alignment horizontal="center"/>
    </xf>
    <xf numFmtId="0" fontId="7" fillId="7" borderId="1" xfId="1" applyFont="1" applyFill="1" applyBorder="1" applyAlignment="1">
      <alignment horizontal="center" vertical="center" wrapText="1"/>
    </xf>
    <xf numFmtId="0" fontId="0" fillId="7" borderId="6" xfId="0" applyFill="1" applyBorder="1" applyAlignment="1">
      <alignment horizontal="center" vertical="center"/>
    </xf>
    <xf numFmtId="0" fontId="0" fillId="7" borderId="4" xfId="0" applyFill="1" applyBorder="1" applyAlignment="1">
      <alignment horizontal="center" vertical="center"/>
    </xf>
    <xf numFmtId="0" fontId="0" fillId="7" borderId="7" xfId="0" applyFill="1" applyBorder="1" applyAlignment="1">
      <alignment horizontal="center" vertical="center"/>
    </xf>
    <xf numFmtId="15" fontId="0" fillId="0" borderId="0" xfId="0" applyNumberFormat="1" applyAlignment="1">
      <alignment horizontal="center" vertical="center"/>
    </xf>
    <xf numFmtId="0" fontId="0" fillId="0" borderId="0" xfId="0" applyAlignment="1">
      <alignment horizontal="center" vertical="justify"/>
    </xf>
    <xf numFmtId="0" fontId="0" fillId="0" borderId="0" xfId="0" applyAlignment="1">
      <alignment horizontal="center" vertical="center"/>
    </xf>
    <xf numFmtId="0" fontId="7" fillId="7" borderId="4" xfId="0" applyFont="1" applyFill="1" applyBorder="1" applyAlignment="1">
      <alignment horizontal="center" vertical="center" wrapText="1"/>
    </xf>
    <xf numFmtId="0" fontId="7" fillId="7" borderId="4" xfId="0" applyFont="1" applyFill="1" applyBorder="1" applyAlignment="1">
      <alignment horizontal="left" vertical="center" wrapText="1"/>
    </xf>
    <xf numFmtId="0" fontId="4" fillId="7" borderId="4" xfId="0" applyFont="1" applyFill="1" applyBorder="1" applyAlignment="1">
      <alignment horizontal="center" vertical="center" wrapText="1"/>
    </xf>
    <xf numFmtId="9" fontId="7" fillId="7" borderId="4" xfId="4" applyFont="1" applyFill="1" applyBorder="1" applyAlignment="1">
      <alignment horizontal="center" vertical="center" wrapText="1"/>
    </xf>
    <xf numFmtId="14" fontId="0" fillId="0" borderId="0" xfId="0" applyNumberFormat="1"/>
  </cellXfs>
  <cellStyles count="15">
    <cellStyle name="Bueno" xfId="1" builtinId="26"/>
    <cellStyle name="Bueno 2" xfId="8" xr:uid="{00000000-0005-0000-0000-000001000000}"/>
    <cellStyle name="Énfasis1" xfId="2" builtinId="29"/>
    <cellStyle name="Énfasis1 2" xfId="9" xr:uid="{00000000-0005-0000-0000-000003000000}"/>
    <cellStyle name="Moneda" xfId="14" builtinId="4"/>
    <cellStyle name="Neutral" xfId="5" builtinId="28"/>
    <cellStyle name="Neutral 2" xfId="6" xr:uid="{00000000-0005-0000-0000-000005000000}"/>
    <cellStyle name="Neutral 2 2" xfId="13" xr:uid="{00000000-0005-0000-0000-000006000000}"/>
    <cellStyle name="Neutral 3" xfId="12" xr:uid="{00000000-0005-0000-0000-000007000000}"/>
    <cellStyle name="Normal" xfId="0" builtinId="0"/>
    <cellStyle name="Normal 2" xfId="3" xr:uid="{00000000-0005-0000-0000-000009000000}"/>
    <cellStyle name="Normal 2 2" xfId="10" xr:uid="{00000000-0005-0000-0000-00000A000000}"/>
    <cellStyle name="Normal 3" xfId="7" xr:uid="{00000000-0005-0000-0000-00000B000000}"/>
    <cellStyle name="Porcentaje" xfId="4" builtinId="5"/>
    <cellStyle name="Porcentaje 2" xfId="11"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M/Downloads/Backlog%20al%2017%2002%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AM/Downloads/Backlog%20al%2012%2006%202025%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AM/Downloads/Alejandro%20Morales%20-%20Estado%20actual%2026%2002%202025.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ignaci&#243;n%20de%20RecursosDesarrolloSAM_SVM%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tos"/>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8"/>
  <sheetViews>
    <sheetView workbookViewId="0">
      <selection activeCell="B8" sqref="B8"/>
    </sheetView>
  </sheetViews>
  <sheetFormatPr baseColWidth="10" defaultRowHeight="14.5"/>
  <sheetData>
    <row r="3" spans="2:2">
      <c r="B3" t="s">
        <v>54</v>
      </c>
    </row>
    <row r="4" spans="2:2">
      <c r="B4" t="s">
        <v>52</v>
      </c>
    </row>
    <row r="5" spans="2:2">
      <c r="B5" t="s">
        <v>53</v>
      </c>
    </row>
    <row r="6" spans="2:2">
      <c r="B6" t="s">
        <v>17</v>
      </c>
    </row>
    <row r="7" spans="2:2">
      <c r="B7" t="s">
        <v>55</v>
      </c>
    </row>
    <row r="8" spans="2:2">
      <c r="B8"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topLeftCell="A40" zoomScaleNormal="100" workbookViewId="0">
      <selection activeCell="B50" sqref="B50"/>
    </sheetView>
  </sheetViews>
  <sheetFormatPr baseColWidth="10" defaultRowHeight="14.5"/>
  <cols>
    <col min="1" max="1" width="22" bestFit="1" customWidth="1"/>
    <col min="2" max="2" width="69" bestFit="1" customWidth="1"/>
    <col min="3" max="3" width="11" style="73" customWidth="1"/>
    <col min="4" max="4" width="11" customWidth="1"/>
    <col min="5" max="5" width="10.6328125" customWidth="1"/>
    <col min="6" max="6" width="23.26953125" customWidth="1"/>
  </cols>
  <sheetData>
    <row r="1" spans="1:8">
      <c r="A1" s="10" t="s">
        <v>0</v>
      </c>
      <c r="B1" s="10" t="s">
        <v>1</v>
      </c>
      <c r="C1" s="10" t="s">
        <v>50</v>
      </c>
      <c r="D1" s="10" t="s">
        <v>51</v>
      </c>
      <c r="E1" s="11" t="s">
        <v>11</v>
      </c>
      <c r="F1" s="10" t="s">
        <v>60</v>
      </c>
      <c r="G1" s="11" t="s">
        <v>58</v>
      </c>
      <c r="H1" s="11" t="s">
        <v>71</v>
      </c>
    </row>
    <row r="2" spans="1:8">
      <c r="A2" s="188" t="s">
        <v>177</v>
      </c>
      <c r="B2" s="156" t="s">
        <v>199</v>
      </c>
      <c r="C2" s="157">
        <v>1</v>
      </c>
      <c r="D2" s="156" t="s">
        <v>17</v>
      </c>
      <c r="E2" s="158">
        <v>1</v>
      </c>
      <c r="F2" s="78"/>
      <c r="G2" s="78"/>
      <c r="H2" s="78"/>
    </row>
    <row r="3" spans="1:8">
      <c r="A3" s="188"/>
      <c r="B3" s="156" t="s">
        <v>192</v>
      </c>
      <c r="C3" s="157">
        <v>2</v>
      </c>
      <c r="D3" s="156" t="s">
        <v>17</v>
      </c>
      <c r="E3" s="158">
        <v>1</v>
      </c>
      <c r="F3" s="78"/>
      <c r="G3" s="78"/>
      <c r="H3" s="78"/>
    </row>
    <row r="4" spans="1:8">
      <c r="A4" s="188"/>
      <c r="B4" s="156" t="s">
        <v>193</v>
      </c>
      <c r="C4" s="157">
        <v>2</v>
      </c>
      <c r="D4" s="156" t="s">
        <v>17</v>
      </c>
      <c r="E4" s="158">
        <v>1</v>
      </c>
      <c r="F4" s="78"/>
      <c r="G4" s="78"/>
      <c r="H4" s="78"/>
    </row>
    <row r="5" spans="1:8">
      <c r="A5" s="188"/>
      <c r="B5" s="156" t="s">
        <v>194</v>
      </c>
      <c r="C5" s="157">
        <v>2</v>
      </c>
      <c r="D5" s="156" t="s">
        <v>17</v>
      </c>
      <c r="E5" s="158">
        <v>1</v>
      </c>
      <c r="F5" s="78"/>
      <c r="G5" s="78"/>
      <c r="H5" s="78"/>
    </row>
    <row r="6" spans="1:8">
      <c r="A6" s="188"/>
      <c r="B6" s="156" t="s">
        <v>195</v>
      </c>
      <c r="C6" s="157">
        <v>2</v>
      </c>
      <c r="D6" s="156" t="s">
        <v>17</v>
      </c>
      <c r="E6" s="158">
        <v>1</v>
      </c>
      <c r="F6" s="78"/>
      <c r="G6" s="78"/>
      <c r="H6" s="78"/>
    </row>
    <row r="7" spans="1:8">
      <c r="A7" s="188"/>
      <c r="B7" s="156" t="s">
        <v>196</v>
      </c>
      <c r="C7" s="157">
        <v>2</v>
      </c>
      <c r="D7" s="156" t="s">
        <v>17</v>
      </c>
      <c r="E7" s="158">
        <v>1</v>
      </c>
      <c r="F7" s="78"/>
      <c r="G7" s="78"/>
      <c r="H7" s="78"/>
    </row>
    <row r="8" spans="1:8">
      <c r="A8" s="188"/>
      <c r="B8" s="156" t="s">
        <v>197</v>
      </c>
      <c r="C8" s="157">
        <v>2</v>
      </c>
      <c r="D8" s="156" t="s">
        <v>17</v>
      </c>
      <c r="E8" s="158">
        <v>1</v>
      </c>
      <c r="F8" s="78"/>
      <c r="G8" s="78"/>
      <c r="H8" s="78"/>
    </row>
    <row r="9" spans="1:8">
      <c r="A9" s="188"/>
      <c r="B9" s="156" t="s">
        <v>198</v>
      </c>
      <c r="C9" s="157">
        <v>2</v>
      </c>
      <c r="D9" s="156" t="s">
        <v>17</v>
      </c>
      <c r="E9" s="158">
        <v>1</v>
      </c>
      <c r="F9" s="81"/>
      <c r="G9" s="78"/>
      <c r="H9" s="78"/>
    </row>
    <row r="10" spans="1:8">
      <c r="A10" s="188"/>
      <c r="B10" s="156" t="s">
        <v>190</v>
      </c>
      <c r="C10" s="157">
        <v>2</v>
      </c>
      <c r="D10" s="156" t="s">
        <v>17</v>
      </c>
      <c r="E10" s="158">
        <v>1</v>
      </c>
      <c r="F10" s="78"/>
      <c r="G10" s="78"/>
      <c r="H10" s="78"/>
    </row>
    <row r="11" spans="1:8">
      <c r="A11" s="188"/>
      <c r="B11" s="156" t="s">
        <v>178</v>
      </c>
      <c r="C11" s="157">
        <v>2</v>
      </c>
      <c r="D11" s="156" t="s">
        <v>17</v>
      </c>
      <c r="E11" s="158">
        <v>1</v>
      </c>
      <c r="F11" s="78"/>
      <c r="G11" s="78"/>
      <c r="H11" s="78"/>
    </row>
    <row r="12" spans="1:8">
      <c r="A12" s="188"/>
      <c r="B12" s="156" t="s">
        <v>179</v>
      </c>
      <c r="C12" s="157">
        <v>2</v>
      </c>
      <c r="D12" s="156" t="s">
        <v>17</v>
      </c>
      <c r="E12" s="158">
        <v>1</v>
      </c>
      <c r="F12" s="78"/>
      <c r="G12" s="78"/>
      <c r="H12" s="78"/>
    </row>
    <row r="13" spans="1:8">
      <c r="A13" s="188"/>
      <c r="B13" s="156" t="s">
        <v>180</v>
      </c>
      <c r="C13" s="157">
        <v>2</v>
      </c>
      <c r="D13" s="156" t="s">
        <v>17</v>
      </c>
      <c r="E13" s="158">
        <v>1</v>
      </c>
      <c r="F13" s="78"/>
      <c r="G13" s="78"/>
      <c r="H13" s="78"/>
    </row>
    <row r="14" spans="1:8">
      <c r="A14" s="188"/>
      <c r="B14" s="156" t="s">
        <v>181</v>
      </c>
      <c r="C14" s="157">
        <v>2</v>
      </c>
      <c r="D14" s="156" t="s">
        <v>17</v>
      </c>
      <c r="E14" s="158">
        <v>1</v>
      </c>
      <c r="F14" s="78"/>
      <c r="G14" s="78"/>
      <c r="H14" s="78"/>
    </row>
    <row r="15" spans="1:8">
      <c r="A15" s="188"/>
      <c r="B15" s="156" t="s">
        <v>182</v>
      </c>
      <c r="C15" s="157">
        <v>2</v>
      </c>
      <c r="D15" s="156" t="s">
        <v>17</v>
      </c>
      <c r="E15" s="158">
        <v>1</v>
      </c>
      <c r="F15" s="78"/>
      <c r="G15" s="78"/>
      <c r="H15" s="78"/>
    </row>
    <row r="16" spans="1:8">
      <c r="A16" s="188"/>
      <c r="B16" s="78" t="s">
        <v>183</v>
      </c>
      <c r="C16" s="79">
        <v>2</v>
      </c>
      <c r="D16" s="78" t="s">
        <v>53</v>
      </c>
      <c r="E16" s="80">
        <v>0.5</v>
      </c>
      <c r="F16" s="78"/>
      <c r="G16" s="78"/>
      <c r="H16" s="78"/>
    </row>
    <row r="17" spans="1:8">
      <c r="B17" s="78"/>
      <c r="C17" s="79"/>
      <c r="D17" s="78"/>
      <c r="E17" s="80"/>
      <c r="F17" s="78"/>
      <c r="G17" s="78"/>
      <c r="H17" s="78"/>
    </row>
    <row r="18" spans="1:8">
      <c r="A18" s="188" t="s">
        <v>184</v>
      </c>
      <c r="B18" s="156" t="s">
        <v>185</v>
      </c>
      <c r="C18" s="157">
        <v>3</v>
      </c>
      <c r="D18" s="156" t="s">
        <v>17</v>
      </c>
      <c r="E18" s="158">
        <v>1</v>
      </c>
      <c r="F18" s="78"/>
      <c r="G18" s="78"/>
      <c r="H18" s="78"/>
    </row>
    <row r="19" spans="1:8">
      <c r="A19" s="188"/>
      <c r="B19" s="156" t="s">
        <v>186</v>
      </c>
      <c r="C19" s="157">
        <v>3</v>
      </c>
      <c r="D19" s="156" t="s">
        <v>17</v>
      </c>
      <c r="E19" s="158">
        <v>1</v>
      </c>
      <c r="F19" s="78"/>
      <c r="G19" s="78"/>
      <c r="H19" s="78"/>
    </row>
    <row r="20" spans="1:8">
      <c r="A20" s="188"/>
      <c r="B20" s="156" t="s">
        <v>187</v>
      </c>
      <c r="C20" s="157">
        <v>3</v>
      </c>
      <c r="D20" s="156" t="s">
        <v>17</v>
      </c>
      <c r="E20" s="158">
        <v>1</v>
      </c>
      <c r="F20" s="81"/>
      <c r="G20" s="78"/>
      <c r="H20" s="78"/>
    </row>
    <row r="21" spans="1:8">
      <c r="A21" s="188"/>
      <c r="B21" s="156" t="s">
        <v>188</v>
      </c>
      <c r="C21" s="157">
        <v>3</v>
      </c>
      <c r="D21" s="156" t="s">
        <v>17</v>
      </c>
      <c r="E21" s="158">
        <v>1</v>
      </c>
      <c r="F21" s="78"/>
      <c r="G21" s="78"/>
      <c r="H21" s="78"/>
    </row>
    <row r="22" spans="1:8">
      <c r="A22" s="188"/>
      <c r="B22" s="156" t="s">
        <v>189</v>
      </c>
      <c r="C22" s="157">
        <v>3</v>
      </c>
      <c r="D22" s="156" t="s">
        <v>17</v>
      </c>
      <c r="E22" s="158">
        <v>1</v>
      </c>
      <c r="F22" s="78"/>
      <c r="G22" s="78"/>
      <c r="H22" s="78"/>
    </row>
    <row r="23" spans="1:8">
      <c r="A23" s="188"/>
      <c r="B23" s="156" t="s">
        <v>190</v>
      </c>
      <c r="C23" s="157">
        <v>3</v>
      </c>
      <c r="D23" s="156" t="s">
        <v>17</v>
      </c>
      <c r="E23" s="158">
        <v>1</v>
      </c>
      <c r="F23" s="78"/>
      <c r="G23" s="78"/>
      <c r="H23" s="78"/>
    </row>
    <row r="24" spans="1:8">
      <c r="A24" s="188"/>
      <c r="B24" s="156" t="s">
        <v>178</v>
      </c>
      <c r="C24" s="157">
        <v>3</v>
      </c>
      <c r="D24" s="156" t="s">
        <v>17</v>
      </c>
      <c r="E24" s="158">
        <v>1</v>
      </c>
      <c r="F24" s="78"/>
      <c r="G24" s="78"/>
      <c r="H24" s="78"/>
    </row>
    <row r="25" spans="1:8">
      <c r="A25" s="188"/>
      <c r="B25" s="156" t="s">
        <v>179</v>
      </c>
      <c r="C25" s="157">
        <v>3</v>
      </c>
      <c r="D25" s="156" t="s">
        <v>17</v>
      </c>
      <c r="E25" s="158">
        <v>1</v>
      </c>
      <c r="F25" s="78"/>
      <c r="G25" s="78"/>
      <c r="H25" s="78"/>
    </row>
    <row r="26" spans="1:8">
      <c r="A26" s="188"/>
      <c r="B26" s="156" t="s">
        <v>180</v>
      </c>
      <c r="C26" s="157">
        <v>3</v>
      </c>
      <c r="D26" s="156" t="s">
        <v>17</v>
      </c>
      <c r="E26" s="158">
        <v>1</v>
      </c>
      <c r="F26" s="78"/>
      <c r="G26" s="78"/>
      <c r="H26" s="78"/>
    </row>
    <row r="27" spans="1:8">
      <c r="A27" s="188"/>
      <c r="B27" s="156" t="s">
        <v>181</v>
      </c>
      <c r="C27" s="157">
        <v>3</v>
      </c>
      <c r="D27" s="156" t="s">
        <v>17</v>
      </c>
      <c r="E27" s="158">
        <v>1</v>
      </c>
      <c r="F27" s="78"/>
      <c r="G27" s="78"/>
      <c r="H27" s="78"/>
    </row>
    <row r="28" spans="1:8">
      <c r="A28" s="188"/>
      <c r="B28" s="156" t="s">
        <v>182</v>
      </c>
      <c r="C28" s="157">
        <v>3</v>
      </c>
      <c r="D28" s="156" t="s">
        <v>17</v>
      </c>
      <c r="E28" s="158">
        <v>1</v>
      </c>
      <c r="F28" s="78"/>
      <c r="G28" s="78"/>
      <c r="H28" s="78"/>
    </row>
    <row r="29" spans="1:8">
      <c r="A29" s="188"/>
      <c r="B29" s="156" t="s">
        <v>183</v>
      </c>
      <c r="C29" s="157">
        <v>3</v>
      </c>
      <c r="D29" s="156" t="s">
        <v>17</v>
      </c>
      <c r="E29" s="158">
        <v>1</v>
      </c>
      <c r="F29" s="78"/>
      <c r="G29" s="78"/>
      <c r="H29" s="78"/>
    </row>
    <row r="30" spans="1:8">
      <c r="B30" s="78"/>
      <c r="C30" s="79"/>
      <c r="D30" s="78"/>
      <c r="E30" s="80"/>
      <c r="F30" s="78"/>
      <c r="G30" s="78"/>
      <c r="H30" s="78"/>
    </row>
    <row r="31" spans="1:8">
      <c r="A31" s="189" t="s">
        <v>191</v>
      </c>
      <c r="B31" s="156" t="s">
        <v>185</v>
      </c>
      <c r="C31" s="157">
        <v>4</v>
      </c>
      <c r="D31" s="156" t="s">
        <v>17</v>
      </c>
      <c r="E31" s="158">
        <v>1</v>
      </c>
      <c r="F31" s="78"/>
      <c r="G31" s="78"/>
      <c r="H31" s="78"/>
    </row>
    <row r="32" spans="1:8">
      <c r="A32" s="189"/>
      <c r="B32" s="156" t="s">
        <v>186</v>
      </c>
      <c r="C32" s="157">
        <v>4</v>
      </c>
      <c r="D32" s="156" t="s">
        <v>17</v>
      </c>
      <c r="E32" s="158">
        <v>1</v>
      </c>
      <c r="F32" s="78"/>
      <c r="G32" s="78"/>
      <c r="H32" s="78"/>
    </row>
    <row r="33" spans="1:8">
      <c r="A33" s="189"/>
      <c r="B33" s="156" t="s">
        <v>187</v>
      </c>
      <c r="C33" s="157">
        <v>4</v>
      </c>
      <c r="D33" s="156" t="s">
        <v>17</v>
      </c>
      <c r="E33" s="158">
        <v>1</v>
      </c>
      <c r="F33" s="81"/>
      <c r="G33" s="78"/>
      <c r="H33" s="78"/>
    </row>
    <row r="34" spans="1:8">
      <c r="A34" s="189"/>
      <c r="B34" s="156" t="s">
        <v>188</v>
      </c>
      <c r="C34" s="157">
        <v>4</v>
      </c>
      <c r="D34" s="156" t="s">
        <v>17</v>
      </c>
      <c r="E34" s="158">
        <v>1</v>
      </c>
      <c r="F34" s="78"/>
      <c r="G34" s="78"/>
      <c r="H34" s="78"/>
    </row>
    <row r="35" spans="1:8">
      <c r="A35" s="189"/>
      <c r="B35" s="156" t="s">
        <v>189</v>
      </c>
      <c r="C35" s="157">
        <v>4</v>
      </c>
      <c r="D35" s="156" t="s">
        <v>17</v>
      </c>
      <c r="E35" s="158">
        <v>1</v>
      </c>
      <c r="F35" s="78"/>
      <c r="G35" s="78"/>
      <c r="H35" s="78"/>
    </row>
    <row r="36" spans="1:8">
      <c r="A36" s="189"/>
      <c r="B36" s="156" t="s">
        <v>190</v>
      </c>
      <c r="C36" s="157">
        <v>4</v>
      </c>
      <c r="D36" s="156" t="s">
        <v>17</v>
      </c>
      <c r="E36" s="158">
        <v>1</v>
      </c>
      <c r="F36" s="78"/>
      <c r="G36" s="78"/>
      <c r="H36" s="78"/>
    </row>
    <row r="37" spans="1:8">
      <c r="A37" s="189"/>
      <c r="B37" s="156" t="s">
        <v>178</v>
      </c>
      <c r="C37" s="157">
        <v>4</v>
      </c>
      <c r="D37" s="156" t="s">
        <v>17</v>
      </c>
      <c r="E37" s="158">
        <v>1</v>
      </c>
      <c r="F37" s="78"/>
      <c r="G37" s="78"/>
      <c r="H37" s="78"/>
    </row>
    <row r="38" spans="1:8">
      <c r="A38" s="189"/>
      <c r="B38" s="156" t="s">
        <v>179</v>
      </c>
      <c r="C38" s="157">
        <v>4</v>
      </c>
      <c r="D38" s="156" t="s">
        <v>17</v>
      </c>
      <c r="E38" s="158">
        <v>1</v>
      </c>
      <c r="F38" s="78"/>
      <c r="G38" s="78"/>
      <c r="H38" s="78"/>
    </row>
    <row r="39" spans="1:8">
      <c r="A39" s="189"/>
      <c r="B39" s="156" t="s">
        <v>180</v>
      </c>
      <c r="C39" s="157">
        <v>4</v>
      </c>
      <c r="D39" s="156" t="s">
        <v>17</v>
      </c>
      <c r="E39" s="158">
        <v>1</v>
      </c>
      <c r="F39" s="78"/>
      <c r="G39" s="78"/>
      <c r="H39" s="78"/>
    </row>
    <row r="40" spans="1:8">
      <c r="A40" s="189"/>
      <c r="B40" s="156" t="s">
        <v>181</v>
      </c>
      <c r="C40" s="157">
        <v>4</v>
      </c>
      <c r="D40" s="156" t="s">
        <v>17</v>
      </c>
      <c r="E40" s="158">
        <v>1</v>
      </c>
      <c r="F40" s="78"/>
      <c r="G40" s="78"/>
      <c r="H40" s="78"/>
    </row>
    <row r="41" spans="1:8">
      <c r="A41" s="189"/>
      <c r="B41" s="156" t="s">
        <v>500</v>
      </c>
      <c r="C41" s="157">
        <v>4</v>
      </c>
      <c r="D41" s="156" t="s">
        <v>17</v>
      </c>
      <c r="E41" s="158">
        <v>1</v>
      </c>
      <c r="F41" s="78"/>
      <c r="G41" s="78"/>
      <c r="H41" s="78"/>
    </row>
    <row r="42" spans="1:8">
      <c r="A42" s="189"/>
      <c r="B42" s="156" t="s">
        <v>182</v>
      </c>
      <c r="C42" s="157">
        <v>4</v>
      </c>
      <c r="D42" s="156" t="s">
        <v>17</v>
      </c>
      <c r="E42" s="158">
        <v>1</v>
      </c>
      <c r="F42" s="78"/>
      <c r="G42" s="78"/>
      <c r="H42" s="78"/>
    </row>
    <row r="43" spans="1:8">
      <c r="A43" s="189"/>
      <c r="B43" s="156" t="s">
        <v>183</v>
      </c>
      <c r="C43" s="157">
        <v>4</v>
      </c>
      <c r="D43" s="156" t="s">
        <v>17</v>
      </c>
      <c r="E43" s="158">
        <v>1</v>
      </c>
      <c r="F43" s="78"/>
      <c r="G43" s="78"/>
      <c r="H43" s="78"/>
    </row>
    <row r="44" spans="1:8">
      <c r="A44" s="189"/>
      <c r="B44" s="78" t="s">
        <v>183</v>
      </c>
      <c r="C44" s="79">
        <v>4</v>
      </c>
      <c r="D44" s="156" t="s">
        <v>53</v>
      </c>
      <c r="E44" s="80">
        <v>0.5</v>
      </c>
      <c r="F44" s="78"/>
      <c r="G44" s="78"/>
      <c r="H44" s="78"/>
    </row>
    <row r="45" spans="1:8">
      <c r="A45" s="84"/>
      <c r="B45" s="83"/>
      <c r="E45" s="85"/>
    </row>
    <row r="46" spans="1:8">
      <c r="A46" s="84"/>
      <c r="B46" s="156" t="s">
        <v>232</v>
      </c>
      <c r="C46" s="157"/>
      <c r="D46" s="156"/>
      <c r="E46" s="158">
        <v>1</v>
      </c>
    </row>
    <row r="47" spans="1:8">
      <c r="A47" s="84"/>
      <c r="B47" s="156" t="s">
        <v>233</v>
      </c>
      <c r="C47" s="157"/>
      <c r="D47" s="156"/>
      <c r="E47" s="158">
        <v>1</v>
      </c>
    </row>
    <row r="48" spans="1:8">
      <c r="B48" s="156" t="s">
        <v>234</v>
      </c>
      <c r="C48" s="156"/>
      <c r="D48" s="156"/>
      <c r="E48" s="158">
        <v>1</v>
      </c>
    </row>
    <row r="49" spans="2:5">
      <c r="B49" s="156" t="s">
        <v>235</v>
      </c>
      <c r="C49" s="156"/>
      <c r="D49" s="156"/>
      <c r="E49" s="158">
        <v>1</v>
      </c>
    </row>
    <row r="50" spans="2:5">
      <c r="B50" s="156" t="s">
        <v>221</v>
      </c>
      <c r="C50" s="156"/>
      <c r="D50" s="156"/>
      <c r="E50" s="158">
        <v>1</v>
      </c>
    </row>
    <row r="51" spans="2:5">
      <c r="B51" s="156" t="s">
        <v>222</v>
      </c>
      <c r="C51" s="156"/>
      <c r="D51" s="156"/>
      <c r="E51" s="158">
        <v>1</v>
      </c>
    </row>
    <row r="52" spans="2:5">
      <c r="B52" s="80"/>
      <c r="C52" s="80"/>
      <c r="D52" s="80"/>
      <c r="E52" s="80"/>
    </row>
    <row r="53" spans="2:5">
      <c r="B53" s="156" t="s">
        <v>223</v>
      </c>
      <c r="C53" s="157"/>
      <c r="D53" s="156"/>
      <c r="E53" s="158">
        <v>1</v>
      </c>
    </row>
    <row r="54" spans="2:5">
      <c r="B54" s="156" t="s">
        <v>224</v>
      </c>
      <c r="C54" s="157"/>
      <c r="D54" s="156"/>
      <c r="E54" s="158">
        <v>1</v>
      </c>
    </row>
    <row r="55" spans="2:5">
      <c r="B55" s="156" t="s">
        <v>236</v>
      </c>
      <c r="C55" s="157"/>
      <c r="D55" s="156"/>
      <c r="E55" s="158">
        <v>1</v>
      </c>
    </row>
    <row r="56" spans="2:5">
      <c r="E56" s="72"/>
    </row>
  </sheetData>
  <mergeCells count="3">
    <mergeCell ref="A2:A16"/>
    <mergeCell ref="A18:A29"/>
    <mergeCell ref="A31:A4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Hoja2!$B$3:$B$8</xm:f>
          </x14:formula1>
          <xm:sqref>D18:D29 D2:D16 D31:D44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9"/>
  <sheetViews>
    <sheetView zoomScale="74" zoomScaleNormal="70" workbookViewId="0">
      <pane ySplit="1" topLeftCell="A92" activePane="bottomLeft" state="frozenSplit"/>
      <selection pane="bottomLeft" activeCell="E97" sqref="E97"/>
    </sheetView>
  </sheetViews>
  <sheetFormatPr baseColWidth="10" defaultColWidth="11" defaultRowHeight="14"/>
  <cols>
    <col min="1" max="1" width="28.6328125" style="12" customWidth="1"/>
    <col min="2" max="2" width="21.7265625" style="12" customWidth="1"/>
    <col min="3" max="3" width="6.08984375" style="12" bestFit="1" customWidth="1"/>
    <col min="4" max="4" width="14.7265625" style="12" customWidth="1"/>
    <col min="5" max="5" width="29.6328125" style="9" customWidth="1"/>
    <col min="6" max="6" width="25.6328125" style="12" customWidth="1"/>
    <col min="7" max="7" width="9.453125" style="9" customWidth="1"/>
    <col min="8" max="8" width="16" style="9" bestFit="1" customWidth="1"/>
    <col min="9" max="10" width="11" style="9"/>
    <col min="11" max="11" width="31.6328125" style="9" customWidth="1"/>
    <col min="12" max="16384" width="11" style="9"/>
  </cols>
  <sheetData>
    <row r="1" spans="1:11" ht="28">
      <c r="A1" s="10" t="s">
        <v>0</v>
      </c>
      <c r="B1" s="10" t="s">
        <v>1</v>
      </c>
      <c r="C1" s="10" t="s">
        <v>50</v>
      </c>
      <c r="D1" s="10" t="s">
        <v>51</v>
      </c>
      <c r="E1" s="11" t="s">
        <v>13</v>
      </c>
      <c r="F1" s="10" t="s">
        <v>60</v>
      </c>
      <c r="G1" s="11" t="s">
        <v>11</v>
      </c>
      <c r="H1" s="11" t="s">
        <v>12</v>
      </c>
      <c r="I1" s="11" t="s">
        <v>58</v>
      </c>
      <c r="J1" s="11" t="s">
        <v>71</v>
      </c>
    </row>
    <row r="2" spans="1:11" ht="42">
      <c r="A2" s="21" t="s">
        <v>2</v>
      </c>
      <c r="B2" s="21" t="s">
        <v>35</v>
      </c>
      <c r="C2" s="21">
        <v>0</v>
      </c>
      <c r="D2" s="21" t="s">
        <v>17</v>
      </c>
      <c r="E2" s="129" t="s">
        <v>6</v>
      </c>
      <c r="F2" s="21" t="s">
        <v>3</v>
      </c>
      <c r="G2" s="130">
        <v>1</v>
      </c>
      <c r="H2" s="129" t="s">
        <v>4</v>
      </c>
      <c r="I2" s="131">
        <v>45705</v>
      </c>
      <c r="J2" s="131">
        <v>45706</v>
      </c>
    </row>
    <row r="3" spans="1:11" ht="42">
      <c r="A3" s="21" t="s">
        <v>5</v>
      </c>
      <c r="B3" s="21" t="s">
        <v>35</v>
      </c>
      <c r="C3" s="21">
        <v>0</v>
      </c>
      <c r="D3" s="21" t="s">
        <v>17</v>
      </c>
      <c r="E3" s="21" t="s">
        <v>44</v>
      </c>
      <c r="F3" s="132" t="s">
        <v>18</v>
      </c>
      <c r="G3" s="130">
        <v>1</v>
      </c>
      <c r="H3" s="129" t="s">
        <v>4</v>
      </c>
      <c r="I3" s="131">
        <v>45720</v>
      </c>
      <c r="J3" s="131">
        <v>45720</v>
      </c>
    </row>
    <row r="4" spans="1:11" ht="252">
      <c r="A4" s="51" t="s">
        <v>9</v>
      </c>
      <c r="B4" s="51" t="s">
        <v>35</v>
      </c>
      <c r="C4" s="51">
        <v>0</v>
      </c>
      <c r="D4" s="51" t="s">
        <v>53</v>
      </c>
      <c r="E4" s="58" t="s">
        <v>134</v>
      </c>
      <c r="F4" s="59" t="s">
        <v>168</v>
      </c>
      <c r="G4" s="60">
        <v>0.95</v>
      </c>
      <c r="H4" s="61" t="s">
        <v>57</v>
      </c>
      <c r="I4" s="62">
        <v>45705</v>
      </c>
      <c r="J4" s="63">
        <v>45720</v>
      </c>
      <c r="K4" s="13"/>
    </row>
    <row r="5" spans="1:11" ht="181.5" customHeight="1">
      <c r="A5" s="21" t="s">
        <v>7</v>
      </c>
      <c r="B5" s="21" t="s">
        <v>35</v>
      </c>
      <c r="C5" s="21">
        <v>0</v>
      </c>
      <c r="D5" s="21" t="s">
        <v>17</v>
      </c>
      <c r="E5" s="21" t="s">
        <v>45</v>
      </c>
      <c r="F5" s="21" t="s">
        <v>135</v>
      </c>
      <c r="G5" s="130">
        <v>1</v>
      </c>
      <c r="H5" s="129" t="s">
        <v>8</v>
      </c>
      <c r="I5" s="133">
        <v>45720</v>
      </c>
      <c r="J5" s="133">
        <v>45722</v>
      </c>
      <c r="K5" s="44"/>
    </row>
    <row r="6" spans="1:11" ht="42">
      <c r="A6" s="21" t="s">
        <v>14</v>
      </c>
      <c r="B6" s="21" t="s">
        <v>35</v>
      </c>
      <c r="C6" s="21">
        <v>0</v>
      </c>
      <c r="D6" s="21" t="s">
        <v>17</v>
      </c>
      <c r="E6" s="129" t="s">
        <v>6</v>
      </c>
      <c r="F6" s="21" t="s">
        <v>15</v>
      </c>
      <c r="G6" s="130">
        <v>1</v>
      </c>
      <c r="H6" s="129" t="s">
        <v>4</v>
      </c>
      <c r="I6" s="131">
        <v>45715</v>
      </c>
      <c r="J6" s="131">
        <v>45716</v>
      </c>
    </row>
    <row r="7" spans="1:11" ht="319">
      <c r="A7" s="21" t="s">
        <v>16</v>
      </c>
      <c r="B7" s="21" t="s">
        <v>35</v>
      </c>
      <c r="C7" s="21">
        <v>0</v>
      </c>
      <c r="D7" s="21" t="s">
        <v>17</v>
      </c>
      <c r="E7" s="134" t="s">
        <v>171</v>
      </c>
      <c r="F7" s="21" t="s">
        <v>170</v>
      </c>
      <c r="G7" s="130">
        <v>1</v>
      </c>
      <c r="H7" s="135" t="s">
        <v>4</v>
      </c>
      <c r="I7" s="136">
        <v>45736</v>
      </c>
      <c r="J7" s="137">
        <v>45737</v>
      </c>
    </row>
    <row r="8" spans="1:11" ht="58">
      <c r="A8" s="138" t="s">
        <v>16</v>
      </c>
      <c r="B8" s="138" t="s">
        <v>35</v>
      </c>
      <c r="C8" s="138">
        <v>0</v>
      </c>
      <c r="D8" s="21" t="s">
        <v>17</v>
      </c>
      <c r="E8" s="139" t="s">
        <v>19</v>
      </c>
      <c r="F8" s="138" t="s">
        <v>59</v>
      </c>
      <c r="G8" s="130">
        <v>1</v>
      </c>
      <c r="H8" s="139" t="s">
        <v>18</v>
      </c>
      <c r="I8" s="140">
        <v>45715</v>
      </c>
      <c r="J8" s="140">
        <v>45716</v>
      </c>
    </row>
    <row r="9" spans="1:11" ht="70">
      <c r="A9" s="21" t="s">
        <v>20</v>
      </c>
      <c r="B9" s="21" t="s">
        <v>36</v>
      </c>
      <c r="C9" s="21">
        <v>0</v>
      </c>
      <c r="D9" s="21" t="s">
        <v>17</v>
      </c>
      <c r="E9" s="21" t="s">
        <v>46</v>
      </c>
      <c r="F9" s="21" t="s">
        <v>21</v>
      </c>
      <c r="G9" s="130">
        <v>1</v>
      </c>
      <c r="H9" s="129" t="s">
        <v>22</v>
      </c>
      <c r="I9" s="131">
        <v>45715</v>
      </c>
      <c r="J9" s="131">
        <v>45716</v>
      </c>
    </row>
    <row r="10" spans="1:11" ht="84">
      <c r="A10" s="21" t="s">
        <v>23</v>
      </c>
      <c r="B10" s="21" t="s">
        <v>36</v>
      </c>
      <c r="C10" s="21">
        <v>0</v>
      </c>
      <c r="D10" s="21" t="s">
        <v>17</v>
      </c>
      <c r="E10" s="21" t="s">
        <v>47</v>
      </c>
      <c r="F10" s="21" t="s">
        <v>136</v>
      </c>
      <c r="G10" s="130">
        <v>1</v>
      </c>
      <c r="H10" s="129" t="s">
        <v>22</v>
      </c>
      <c r="I10" s="131">
        <v>45715</v>
      </c>
      <c r="J10" s="131">
        <v>45716</v>
      </c>
    </row>
    <row r="11" spans="1:11" ht="237.75" customHeight="1">
      <c r="A11" s="21" t="s">
        <v>25</v>
      </c>
      <c r="B11" s="21" t="s">
        <v>24</v>
      </c>
      <c r="C11" s="21">
        <v>0</v>
      </c>
      <c r="D11" s="21" t="s">
        <v>17</v>
      </c>
      <c r="E11" s="21" t="s">
        <v>48</v>
      </c>
      <c r="F11" s="132" t="s">
        <v>156</v>
      </c>
      <c r="G11" s="130">
        <v>1</v>
      </c>
      <c r="H11" s="129" t="s">
        <v>26</v>
      </c>
      <c r="I11" s="133">
        <v>45723</v>
      </c>
      <c r="J11" s="133">
        <v>45730</v>
      </c>
      <c r="K11" s="44"/>
    </row>
    <row r="12" spans="1:11" ht="70">
      <c r="A12" s="21" t="s">
        <v>27</v>
      </c>
      <c r="B12" s="21" t="s">
        <v>24</v>
      </c>
      <c r="C12" s="21">
        <v>0</v>
      </c>
      <c r="D12" s="21" t="s">
        <v>17</v>
      </c>
      <c r="E12" s="129" t="s">
        <v>29</v>
      </c>
      <c r="F12" s="21" t="s">
        <v>28</v>
      </c>
      <c r="G12" s="130">
        <v>1</v>
      </c>
      <c r="H12" s="129" t="s">
        <v>18</v>
      </c>
      <c r="I12" s="129"/>
      <c r="J12" s="129"/>
    </row>
    <row r="13" spans="1:11" ht="28">
      <c r="A13" s="21" t="s">
        <v>30</v>
      </c>
      <c r="B13" s="21" t="s">
        <v>37</v>
      </c>
      <c r="C13" s="21">
        <v>0</v>
      </c>
      <c r="D13" s="21" t="s">
        <v>17</v>
      </c>
      <c r="E13" s="129" t="s">
        <v>19</v>
      </c>
      <c r="F13" s="21" t="s">
        <v>31</v>
      </c>
      <c r="G13" s="130">
        <v>1</v>
      </c>
      <c r="H13" s="129" t="s">
        <v>18</v>
      </c>
      <c r="I13" s="129"/>
      <c r="J13" s="129"/>
    </row>
    <row r="14" spans="1:11" ht="42">
      <c r="A14" s="21" t="s">
        <v>32</v>
      </c>
      <c r="B14" s="21" t="s">
        <v>38</v>
      </c>
      <c r="C14" s="21">
        <v>0</v>
      </c>
      <c r="D14" s="21" t="s">
        <v>17</v>
      </c>
      <c r="E14" s="129" t="s">
        <v>19</v>
      </c>
      <c r="F14" s="21" t="s">
        <v>33</v>
      </c>
      <c r="G14" s="130">
        <v>1</v>
      </c>
      <c r="H14" s="129" t="s">
        <v>18</v>
      </c>
      <c r="I14" s="129"/>
      <c r="J14" s="129"/>
    </row>
    <row r="15" spans="1:11" ht="42">
      <c r="A15" s="21" t="s">
        <v>34</v>
      </c>
      <c r="B15" s="21" t="s">
        <v>39</v>
      </c>
      <c r="C15" s="21">
        <v>0</v>
      </c>
      <c r="D15" s="21" t="s">
        <v>17</v>
      </c>
      <c r="E15" s="21" t="s">
        <v>49</v>
      </c>
      <c r="F15" s="21" t="s">
        <v>41</v>
      </c>
      <c r="G15" s="130">
        <v>1</v>
      </c>
      <c r="H15" s="129" t="s">
        <v>10</v>
      </c>
      <c r="I15" s="129"/>
      <c r="J15" s="129"/>
    </row>
    <row r="16" spans="1:11" ht="42">
      <c r="A16" s="21" t="s">
        <v>43</v>
      </c>
      <c r="B16" s="21" t="s">
        <v>40</v>
      </c>
      <c r="C16" s="21">
        <v>0</v>
      </c>
      <c r="D16" s="21" t="s">
        <v>17</v>
      </c>
      <c r="E16" s="129" t="s">
        <v>19</v>
      </c>
      <c r="F16" s="21" t="s">
        <v>42</v>
      </c>
      <c r="G16" s="130">
        <v>1</v>
      </c>
      <c r="H16" s="129" t="s">
        <v>18</v>
      </c>
      <c r="I16" s="129"/>
      <c r="J16" s="129"/>
    </row>
    <row r="17" spans="1:10">
      <c r="I17" s="88">
        <v>45789</v>
      </c>
      <c r="J17" s="88">
        <v>45793</v>
      </c>
    </row>
    <row r="18" spans="1:10" ht="42">
      <c r="A18" s="21" t="s">
        <v>320</v>
      </c>
      <c r="B18" s="21" t="s">
        <v>325</v>
      </c>
      <c r="C18" s="21">
        <v>0</v>
      </c>
      <c r="D18" s="21" t="s">
        <v>17</v>
      </c>
      <c r="E18" s="129"/>
      <c r="F18" s="21"/>
      <c r="G18" s="130">
        <v>1</v>
      </c>
      <c r="H18" s="129"/>
      <c r="I18" s="131">
        <v>45796</v>
      </c>
      <c r="J18" s="131">
        <v>45807</v>
      </c>
    </row>
    <row r="19" spans="1:10" ht="28">
      <c r="A19" s="21" t="s">
        <v>322</v>
      </c>
      <c r="B19" s="21" t="s">
        <v>325</v>
      </c>
      <c r="C19" s="21">
        <v>0</v>
      </c>
      <c r="D19" s="21" t="s">
        <v>17</v>
      </c>
      <c r="E19" s="129"/>
      <c r="F19" s="21"/>
      <c r="G19" s="130">
        <v>1</v>
      </c>
      <c r="H19" s="129"/>
      <c r="I19" s="131">
        <v>45796</v>
      </c>
      <c r="J19" s="131">
        <v>45807</v>
      </c>
    </row>
    <row r="20" spans="1:10" ht="28">
      <c r="A20" s="21" t="s">
        <v>321</v>
      </c>
      <c r="B20" s="21" t="s">
        <v>326</v>
      </c>
      <c r="C20" s="21">
        <v>0</v>
      </c>
      <c r="D20" s="21" t="s">
        <v>17</v>
      </c>
      <c r="E20" s="129"/>
      <c r="F20" s="21"/>
      <c r="G20" s="130">
        <v>1</v>
      </c>
      <c r="H20" s="129"/>
      <c r="I20" s="131">
        <v>45796</v>
      </c>
      <c r="J20" s="131">
        <v>45807</v>
      </c>
    </row>
    <row r="21" spans="1:10" ht="42">
      <c r="A21" s="21" t="s">
        <v>319</v>
      </c>
      <c r="B21" s="21" t="s">
        <v>327</v>
      </c>
      <c r="C21" s="21">
        <v>0</v>
      </c>
      <c r="D21" s="21" t="s">
        <v>17</v>
      </c>
      <c r="E21" s="129"/>
      <c r="F21" s="21"/>
      <c r="G21" s="130">
        <v>1</v>
      </c>
      <c r="H21" s="129"/>
      <c r="I21" s="131">
        <v>45810</v>
      </c>
      <c r="J21" s="131">
        <v>45814</v>
      </c>
    </row>
    <row r="22" spans="1:10" ht="42">
      <c r="A22" s="21" t="s">
        <v>323</v>
      </c>
      <c r="B22" s="21" t="s">
        <v>327</v>
      </c>
      <c r="C22" s="21">
        <v>0</v>
      </c>
      <c r="D22" s="21" t="s">
        <v>17</v>
      </c>
      <c r="E22" s="129"/>
      <c r="F22" s="21"/>
      <c r="G22" s="130">
        <v>1</v>
      </c>
      <c r="H22" s="129"/>
      <c r="I22" s="131">
        <v>45779</v>
      </c>
      <c r="J22" s="131">
        <v>45817</v>
      </c>
    </row>
    <row r="23" spans="1:10">
      <c r="A23" s="21" t="s">
        <v>328</v>
      </c>
      <c r="B23" s="21" t="s">
        <v>327</v>
      </c>
      <c r="C23" s="21">
        <v>0</v>
      </c>
      <c r="D23" s="21" t="s">
        <v>17</v>
      </c>
      <c r="E23" s="129"/>
      <c r="F23" s="21"/>
      <c r="G23" s="130">
        <v>1</v>
      </c>
      <c r="H23" s="129"/>
      <c r="I23" s="131">
        <v>45781</v>
      </c>
      <c r="J23" s="131">
        <v>45817</v>
      </c>
    </row>
    <row r="24" spans="1:10">
      <c r="A24" s="21" t="s">
        <v>353</v>
      </c>
      <c r="B24" s="21" t="s">
        <v>327</v>
      </c>
      <c r="C24" s="21">
        <v>0</v>
      </c>
      <c r="D24" s="21" t="s">
        <v>17</v>
      </c>
      <c r="E24" s="129"/>
      <c r="F24" s="21"/>
      <c r="G24" s="130">
        <v>1</v>
      </c>
      <c r="H24" s="129"/>
      <c r="I24" s="131">
        <v>45783</v>
      </c>
      <c r="J24" s="129"/>
    </row>
    <row r="25" spans="1:10" ht="28">
      <c r="A25" s="51" t="s">
        <v>352</v>
      </c>
      <c r="B25" s="51" t="s">
        <v>327</v>
      </c>
      <c r="C25" s="51">
        <v>2</v>
      </c>
      <c r="D25" s="51" t="s">
        <v>324</v>
      </c>
      <c r="E25" s="61"/>
      <c r="F25" s="51" t="s">
        <v>354</v>
      </c>
      <c r="G25" s="60">
        <v>0.8</v>
      </c>
      <c r="H25" s="61"/>
      <c r="I25" s="62">
        <v>45783</v>
      </c>
      <c r="J25" s="61"/>
    </row>
    <row r="26" spans="1:10" ht="28">
      <c r="A26" s="21" t="s">
        <v>349</v>
      </c>
      <c r="B26" s="21"/>
      <c r="C26" s="21">
        <v>0</v>
      </c>
      <c r="D26" s="21" t="s">
        <v>17</v>
      </c>
      <c r="E26" s="141" t="s">
        <v>356</v>
      </c>
      <c r="F26" s="21"/>
      <c r="G26" s="130">
        <v>1</v>
      </c>
      <c r="H26" s="129"/>
      <c r="I26" s="131">
        <v>45787</v>
      </c>
      <c r="J26" s="129" t="s">
        <v>404</v>
      </c>
    </row>
    <row r="27" spans="1:10" ht="28">
      <c r="A27" s="21" t="s">
        <v>357</v>
      </c>
      <c r="B27" s="21"/>
      <c r="C27" s="21">
        <v>0</v>
      </c>
      <c r="D27" s="21" t="s">
        <v>17</v>
      </c>
      <c r="E27" s="21" t="s">
        <v>355</v>
      </c>
      <c r="F27" s="21" t="s">
        <v>432</v>
      </c>
      <c r="G27" s="130">
        <v>1</v>
      </c>
      <c r="H27" s="129"/>
      <c r="I27" s="131">
        <v>45787</v>
      </c>
      <c r="J27" s="129"/>
    </row>
    <row r="28" spans="1:10" ht="28">
      <c r="A28" s="21" t="s">
        <v>359</v>
      </c>
      <c r="B28" s="21" t="s">
        <v>327</v>
      </c>
      <c r="C28" s="21">
        <v>0</v>
      </c>
      <c r="D28" s="21" t="s">
        <v>17</v>
      </c>
      <c r="E28" s="129"/>
      <c r="F28" s="21"/>
      <c r="G28" s="130">
        <v>1</v>
      </c>
      <c r="H28" s="129"/>
      <c r="I28" s="131">
        <v>45819</v>
      </c>
      <c r="J28" s="131">
        <v>45819</v>
      </c>
    </row>
    <row r="29" spans="1:10">
      <c r="A29" s="21" t="s">
        <v>360</v>
      </c>
      <c r="B29" s="21" t="s">
        <v>327</v>
      </c>
      <c r="C29" s="21">
        <v>0</v>
      </c>
      <c r="D29" s="21" t="s">
        <v>17</v>
      </c>
      <c r="E29" s="129"/>
      <c r="F29" s="21"/>
      <c r="G29" s="130">
        <v>1</v>
      </c>
      <c r="H29" s="129"/>
      <c r="I29" s="131">
        <v>45819</v>
      </c>
      <c r="J29" s="131">
        <v>45819</v>
      </c>
    </row>
    <row r="30" spans="1:10">
      <c r="A30" s="21" t="s">
        <v>358</v>
      </c>
      <c r="B30" s="21" t="s">
        <v>327</v>
      </c>
      <c r="C30" s="21">
        <v>0</v>
      </c>
      <c r="D30" s="21" t="s">
        <v>17</v>
      </c>
      <c r="E30" s="129"/>
      <c r="F30" s="21"/>
      <c r="G30" s="130">
        <v>1</v>
      </c>
      <c r="H30" s="129"/>
      <c r="I30" s="131">
        <v>45820</v>
      </c>
      <c r="J30" s="131"/>
    </row>
    <row r="31" spans="1:10">
      <c r="A31" s="21" t="s">
        <v>361</v>
      </c>
      <c r="B31" s="21" t="s">
        <v>327</v>
      </c>
      <c r="C31" s="21">
        <v>0</v>
      </c>
      <c r="D31" s="21" t="s">
        <v>17</v>
      </c>
      <c r="E31" s="129"/>
      <c r="F31" s="21"/>
      <c r="G31" s="130">
        <v>1</v>
      </c>
      <c r="H31" s="129"/>
      <c r="I31" s="131">
        <v>45820</v>
      </c>
      <c r="J31" s="129"/>
    </row>
    <row r="32" spans="1:10" ht="28">
      <c r="A32" s="51" t="s">
        <v>362</v>
      </c>
      <c r="B32" s="51" t="s">
        <v>327</v>
      </c>
      <c r="C32" s="51">
        <v>2</v>
      </c>
      <c r="D32" s="51" t="s">
        <v>324</v>
      </c>
      <c r="E32" s="61"/>
      <c r="F32" s="51"/>
      <c r="G32" s="60">
        <v>0.9</v>
      </c>
      <c r="H32" s="61"/>
      <c r="I32" s="62">
        <v>45820</v>
      </c>
      <c r="J32" s="61"/>
    </row>
    <row r="33" spans="1:11" ht="28">
      <c r="A33" s="21" t="s">
        <v>401</v>
      </c>
      <c r="B33" s="21" t="s">
        <v>327</v>
      </c>
      <c r="C33" s="21">
        <v>0</v>
      </c>
      <c r="D33" s="21" t="s">
        <v>17</v>
      </c>
      <c r="E33" s="129"/>
      <c r="F33" s="21"/>
      <c r="G33" s="130">
        <v>1</v>
      </c>
      <c r="H33" s="129"/>
      <c r="I33" s="131">
        <v>45825</v>
      </c>
      <c r="J33" s="131"/>
    </row>
    <row r="34" spans="1:11" ht="28">
      <c r="A34" s="21" t="s">
        <v>402</v>
      </c>
      <c r="B34" s="21" t="s">
        <v>327</v>
      </c>
      <c r="C34" s="21">
        <v>0</v>
      </c>
      <c r="D34" s="21" t="s">
        <v>17</v>
      </c>
      <c r="E34" s="129"/>
      <c r="F34" s="21"/>
      <c r="G34" s="130">
        <v>1</v>
      </c>
      <c r="H34" s="129"/>
      <c r="I34" s="131">
        <v>45825</v>
      </c>
      <c r="J34" s="129"/>
    </row>
    <row r="35" spans="1:11" ht="28">
      <c r="A35" s="51" t="s">
        <v>403</v>
      </c>
      <c r="B35" s="51" t="s">
        <v>327</v>
      </c>
      <c r="C35" s="51">
        <v>2</v>
      </c>
      <c r="D35" s="51" t="s">
        <v>324</v>
      </c>
      <c r="E35" s="61"/>
      <c r="F35" s="51"/>
      <c r="G35" s="60">
        <v>0.8</v>
      </c>
      <c r="H35" s="61"/>
      <c r="I35" s="62">
        <v>45825</v>
      </c>
      <c r="J35" s="61"/>
    </row>
    <row r="36" spans="1:11" ht="28">
      <c r="A36" s="21" t="s">
        <v>405</v>
      </c>
      <c r="B36" s="21" t="s">
        <v>406</v>
      </c>
      <c r="C36" s="21">
        <v>0</v>
      </c>
      <c r="D36" s="21" t="s">
        <v>17</v>
      </c>
      <c r="E36" s="21" t="s">
        <v>407</v>
      </c>
      <c r="F36" s="21"/>
      <c r="G36" s="130">
        <v>1</v>
      </c>
      <c r="H36" s="21"/>
      <c r="I36" s="131">
        <v>45832</v>
      </c>
      <c r="J36" s="131">
        <v>45834</v>
      </c>
    </row>
    <row r="37" spans="1:11" ht="42">
      <c r="A37" s="21" t="s">
        <v>463</v>
      </c>
      <c r="B37" s="21" t="s">
        <v>327</v>
      </c>
      <c r="C37" s="21">
        <v>0</v>
      </c>
      <c r="D37" s="21" t="s">
        <v>17</v>
      </c>
      <c r="E37" s="21"/>
      <c r="F37" s="21"/>
      <c r="G37" s="130">
        <v>1</v>
      </c>
      <c r="H37" s="21"/>
      <c r="I37" s="131">
        <v>45834</v>
      </c>
      <c r="J37" s="131">
        <v>45835</v>
      </c>
    </row>
    <row r="38" spans="1:11" ht="28">
      <c r="A38" s="21" t="s">
        <v>408</v>
      </c>
      <c r="B38" s="21" t="s">
        <v>327</v>
      </c>
      <c r="C38" s="21">
        <v>0</v>
      </c>
      <c r="D38" s="21" t="s">
        <v>17</v>
      </c>
      <c r="E38" s="21"/>
      <c r="F38" s="21" t="s">
        <v>409</v>
      </c>
      <c r="G38" s="130">
        <v>1</v>
      </c>
      <c r="H38" s="21"/>
      <c r="I38" s="131">
        <v>45831</v>
      </c>
      <c r="J38" s="131">
        <v>45835</v>
      </c>
    </row>
    <row r="39" spans="1:11" ht="28">
      <c r="A39" s="21" t="s">
        <v>410</v>
      </c>
      <c r="B39" s="21" t="s">
        <v>327</v>
      </c>
      <c r="C39" s="21">
        <v>0</v>
      </c>
      <c r="D39" s="21" t="s">
        <v>17</v>
      </c>
      <c r="E39" s="21"/>
      <c r="F39" s="21" t="s">
        <v>411</v>
      </c>
      <c r="G39" s="130">
        <v>1</v>
      </c>
      <c r="H39" s="21"/>
      <c r="I39" s="131">
        <v>45831</v>
      </c>
      <c r="J39" s="131">
        <v>45840</v>
      </c>
    </row>
    <row r="40" spans="1:11" ht="28">
      <c r="A40" s="21" t="s">
        <v>464</v>
      </c>
      <c r="B40" s="21" t="s">
        <v>327</v>
      </c>
      <c r="C40" s="21">
        <v>0</v>
      </c>
      <c r="D40" s="21" t="s">
        <v>17</v>
      </c>
      <c r="E40" s="21"/>
      <c r="F40" s="21" t="s">
        <v>433</v>
      </c>
      <c r="G40" s="130">
        <v>1</v>
      </c>
      <c r="H40" s="21"/>
      <c r="I40" s="131">
        <v>45848</v>
      </c>
      <c r="J40" s="131">
        <v>45849</v>
      </c>
      <c r="K40" s="12"/>
    </row>
    <row r="41" spans="1:11">
      <c r="A41" s="21" t="s">
        <v>415</v>
      </c>
      <c r="B41" s="21" t="s">
        <v>327</v>
      </c>
      <c r="C41" s="21">
        <v>0</v>
      </c>
      <c r="D41" s="21" t="s">
        <v>17</v>
      </c>
      <c r="E41" s="21"/>
      <c r="F41" s="21"/>
      <c r="G41" s="130">
        <v>1</v>
      </c>
      <c r="H41" s="21"/>
      <c r="I41" s="131">
        <v>45840</v>
      </c>
      <c r="J41" s="131">
        <v>45846</v>
      </c>
      <c r="K41" s="12"/>
    </row>
    <row r="42" spans="1:11" ht="28">
      <c r="A42" s="21" t="s">
        <v>465</v>
      </c>
      <c r="B42" s="21" t="s">
        <v>327</v>
      </c>
      <c r="C42" s="21">
        <v>0</v>
      </c>
      <c r="D42" s="21" t="s">
        <v>17</v>
      </c>
      <c r="E42" s="21"/>
      <c r="F42" s="21"/>
      <c r="G42" s="130">
        <v>1</v>
      </c>
      <c r="H42" s="21"/>
      <c r="I42" s="131">
        <v>45845</v>
      </c>
      <c r="J42" s="131">
        <v>45852</v>
      </c>
    </row>
    <row r="43" spans="1:11" ht="42">
      <c r="A43" s="21" t="s">
        <v>416</v>
      </c>
      <c r="B43" s="21" t="s">
        <v>417</v>
      </c>
      <c r="C43" s="21">
        <v>0</v>
      </c>
      <c r="D43" s="21" t="s">
        <v>17</v>
      </c>
      <c r="E43" s="21"/>
      <c r="F43" s="21"/>
      <c r="G43" s="130">
        <v>1</v>
      </c>
      <c r="H43" s="21"/>
      <c r="I43" s="131">
        <v>45840</v>
      </c>
      <c r="J43" s="131">
        <v>45840</v>
      </c>
    </row>
    <row r="44" spans="1:11" ht="28">
      <c r="A44" s="21" t="s">
        <v>466</v>
      </c>
      <c r="B44" s="21" t="s">
        <v>327</v>
      </c>
      <c r="C44" s="21">
        <v>0</v>
      </c>
      <c r="D44" s="21" t="s">
        <v>17</v>
      </c>
      <c r="E44" s="21"/>
      <c r="F44" s="21"/>
      <c r="G44" s="130">
        <v>1</v>
      </c>
      <c r="H44" s="21"/>
      <c r="I44" s="131">
        <v>45841</v>
      </c>
      <c r="J44" s="131">
        <v>45849</v>
      </c>
    </row>
    <row r="45" spans="1:11" ht="42">
      <c r="A45" s="21" t="s">
        <v>419</v>
      </c>
      <c r="B45" s="21" t="s">
        <v>327</v>
      </c>
      <c r="C45" s="21">
        <v>0</v>
      </c>
      <c r="D45" s="21" t="s">
        <v>17</v>
      </c>
      <c r="E45" s="21"/>
      <c r="F45" s="21" t="s">
        <v>420</v>
      </c>
      <c r="G45" s="130">
        <v>1</v>
      </c>
      <c r="H45" s="21"/>
      <c r="I45" s="131">
        <v>45841</v>
      </c>
      <c r="J45" s="131">
        <v>45848</v>
      </c>
    </row>
    <row r="46" spans="1:11" ht="42">
      <c r="A46" s="21" t="s">
        <v>421</v>
      </c>
      <c r="B46" s="21" t="s">
        <v>327</v>
      </c>
      <c r="C46" s="21">
        <v>0</v>
      </c>
      <c r="D46" s="21" t="s">
        <v>17</v>
      </c>
      <c r="E46" s="21"/>
      <c r="F46" s="21" t="s">
        <v>422</v>
      </c>
      <c r="G46" s="130">
        <v>1</v>
      </c>
      <c r="H46" s="21"/>
      <c r="I46" s="131">
        <v>45841</v>
      </c>
      <c r="J46" s="21"/>
    </row>
    <row r="47" spans="1:11" ht="28">
      <c r="A47" s="21" t="s">
        <v>467</v>
      </c>
      <c r="B47" s="21" t="s">
        <v>327</v>
      </c>
      <c r="C47" s="21">
        <v>0</v>
      </c>
      <c r="D47" s="21" t="s">
        <v>17</v>
      </c>
      <c r="E47" s="21"/>
      <c r="F47" s="21"/>
      <c r="G47" s="130">
        <v>1</v>
      </c>
      <c r="H47" s="21"/>
      <c r="I47" s="131">
        <v>45841</v>
      </c>
      <c r="J47" s="131">
        <v>45842</v>
      </c>
    </row>
    <row r="48" spans="1:11" ht="28">
      <c r="A48" s="21" t="s">
        <v>434</v>
      </c>
      <c r="B48" s="21" t="s">
        <v>327</v>
      </c>
      <c r="C48" s="21">
        <v>0</v>
      </c>
      <c r="D48" s="21" t="s">
        <v>17</v>
      </c>
      <c r="E48" s="21"/>
      <c r="F48" s="21"/>
      <c r="G48" s="130">
        <v>1</v>
      </c>
      <c r="H48" s="21"/>
      <c r="I48" s="131">
        <v>45841</v>
      </c>
      <c r="J48" s="131">
        <v>45848</v>
      </c>
    </row>
    <row r="49" spans="1:10" ht="42">
      <c r="A49" s="21" t="s">
        <v>435</v>
      </c>
      <c r="B49" s="21" t="s">
        <v>417</v>
      </c>
      <c r="C49" s="21">
        <v>0</v>
      </c>
      <c r="D49" s="21" t="s">
        <v>17</v>
      </c>
      <c r="E49" s="21"/>
      <c r="F49" s="21"/>
      <c r="G49" s="130">
        <v>1</v>
      </c>
      <c r="H49" s="21"/>
      <c r="I49" s="131">
        <v>45845</v>
      </c>
      <c r="J49" s="131">
        <v>190</v>
      </c>
    </row>
    <row r="50" spans="1:10" ht="42">
      <c r="A50" s="21" t="s">
        <v>436</v>
      </c>
      <c r="B50" s="21" t="s">
        <v>417</v>
      </c>
      <c r="C50" s="21">
        <v>0</v>
      </c>
      <c r="D50" s="21" t="s">
        <v>17</v>
      </c>
      <c r="E50" s="21"/>
      <c r="F50" s="21"/>
      <c r="G50" s="130">
        <v>1</v>
      </c>
      <c r="H50" s="21"/>
      <c r="I50" s="131">
        <v>45845</v>
      </c>
      <c r="J50" s="131">
        <v>45848</v>
      </c>
    </row>
    <row r="51" spans="1:10" ht="28">
      <c r="A51" s="21" t="s">
        <v>437</v>
      </c>
      <c r="B51" s="21" t="s">
        <v>406</v>
      </c>
      <c r="C51" s="21">
        <v>0</v>
      </c>
      <c r="D51" s="21" t="s">
        <v>17</v>
      </c>
      <c r="E51" s="21"/>
      <c r="F51" s="21"/>
      <c r="G51" s="130">
        <v>1</v>
      </c>
      <c r="H51" s="21"/>
      <c r="I51" s="131">
        <v>45847</v>
      </c>
      <c r="J51" s="131">
        <v>45860</v>
      </c>
    </row>
    <row r="52" spans="1:10" ht="28">
      <c r="A52" s="21" t="s">
        <v>438</v>
      </c>
      <c r="B52" s="21" t="s">
        <v>417</v>
      </c>
      <c r="C52" s="21">
        <v>0</v>
      </c>
      <c r="D52" s="21" t="s">
        <v>17</v>
      </c>
      <c r="E52" s="21"/>
      <c r="F52" s="21"/>
      <c r="G52" s="130">
        <v>1</v>
      </c>
      <c r="H52" s="21"/>
      <c r="I52" s="131">
        <v>45848</v>
      </c>
      <c r="J52" s="131">
        <v>45860</v>
      </c>
    </row>
    <row r="53" spans="1:10">
      <c r="A53" s="21" t="s">
        <v>439</v>
      </c>
      <c r="B53" s="21" t="s">
        <v>417</v>
      </c>
      <c r="C53" s="21">
        <v>0</v>
      </c>
      <c r="D53" s="21" t="s">
        <v>17</v>
      </c>
      <c r="E53" s="21"/>
      <c r="F53" s="21"/>
      <c r="G53" s="130">
        <v>1</v>
      </c>
      <c r="H53" s="21"/>
      <c r="I53" s="131">
        <v>45847</v>
      </c>
      <c r="J53" s="131">
        <v>45847</v>
      </c>
    </row>
    <row r="54" spans="1:10" ht="28">
      <c r="A54" s="21" t="s">
        <v>440</v>
      </c>
      <c r="B54" s="21" t="s">
        <v>417</v>
      </c>
      <c r="C54" s="21">
        <v>0</v>
      </c>
      <c r="D54" s="21" t="s">
        <v>17</v>
      </c>
      <c r="E54" s="21"/>
      <c r="F54" s="21"/>
      <c r="G54" s="130">
        <v>1</v>
      </c>
      <c r="H54" s="21"/>
      <c r="I54" s="131">
        <v>45845</v>
      </c>
      <c r="J54" s="131">
        <v>45845</v>
      </c>
    </row>
    <row r="55" spans="1:10" ht="42">
      <c r="A55" s="21" t="s">
        <v>462</v>
      </c>
      <c r="B55" s="21" t="s">
        <v>327</v>
      </c>
      <c r="C55" s="21">
        <v>0</v>
      </c>
      <c r="D55" s="21" t="s">
        <v>17</v>
      </c>
      <c r="E55" s="21"/>
      <c r="F55" s="21"/>
      <c r="G55" s="130">
        <v>1</v>
      </c>
      <c r="H55" s="21"/>
      <c r="I55" s="131">
        <v>45854</v>
      </c>
      <c r="J55" s="131">
        <v>45860</v>
      </c>
    </row>
    <row r="56" spans="1:10" ht="42">
      <c r="A56" s="21" t="s">
        <v>460</v>
      </c>
      <c r="B56" s="21" t="s">
        <v>327</v>
      </c>
      <c r="C56" s="21">
        <v>0</v>
      </c>
      <c r="D56" s="21" t="s">
        <v>17</v>
      </c>
      <c r="E56" s="21"/>
      <c r="F56" s="21" t="s">
        <v>468</v>
      </c>
      <c r="G56" s="130">
        <v>1</v>
      </c>
      <c r="H56" s="21"/>
      <c r="I56" s="131">
        <v>45854</v>
      </c>
      <c r="J56" s="131">
        <v>45860</v>
      </c>
    </row>
    <row r="57" spans="1:10" ht="42">
      <c r="A57" s="21" t="s">
        <v>461</v>
      </c>
      <c r="B57" s="21" t="s">
        <v>327</v>
      </c>
      <c r="C57" s="21">
        <v>0</v>
      </c>
      <c r="D57" s="21" t="s">
        <v>17</v>
      </c>
      <c r="E57" s="21"/>
      <c r="F57" s="21" t="s">
        <v>469</v>
      </c>
      <c r="G57" s="130">
        <v>1</v>
      </c>
      <c r="H57" s="21"/>
      <c r="I57" s="131">
        <v>45854</v>
      </c>
      <c r="J57" s="131">
        <v>45917</v>
      </c>
    </row>
    <row r="58" spans="1:10" ht="42">
      <c r="A58" s="21" t="s">
        <v>459</v>
      </c>
      <c r="B58" s="21" t="s">
        <v>327</v>
      </c>
      <c r="C58" s="21">
        <v>0</v>
      </c>
      <c r="D58" s="21" t="s">
        <v>17</v>
      </c>
      <c r="E58" s="21"/>
      <c r="F58" s="21"/>
      <c r="G58" s="130">
        <v>1</v>
      </c>
      <c r="H58" s="21"/>
      <c r="I58" s="131">
        <v>45855</v>
      </c>
      <c r="J58" s="131">
        <v>45860</v>
      </c>
    </row>
    <row r="59" spans="1:10" ht="28">
      <c r="A59" s="21" t="s">
        <v>470</v>
      </c>
      <c r="B59" s="21" t="s">
        <v>327</v>
      </c>
      <c r="C59" s="21">
        <v>0</v>
      </c>
      <c r="D59" s="21" t="s">
        <v>17</v>
      </c>
      <c r="E59" s="21"/>
      <c r="F59" s="21" t="s">
        <v>469</v>
      </c>
      <c r="G59" s="130">
        <v>1</v>
      </c>
      <c r="H59" s="21"/>
      <c r="I59" s="131">
        <v>45867</v>
      </c>
      <c r="J59" s="131">
        <v>45870</v>
      </c>
    </row>
    <row r="60" spans="1:10" ht="28">
      <c r="A60" s="21" t="s">
        <v>484</v>
      </c>
      <c r="B60" s="21" t="s">
        <v>327</v>
      </c>
      <c r="C60" s="21">
        <v>0</v>
      </c>
      <c r="D60" s="21" t="s">
        <v>17</v>
      </c>
      <c r="E60" s="21"/>
      <c r="F60" s="21" t="s">
        <v>481</v>
      </c>
      <c r="G60" s="130">
        <v>1</v>
      </c>
      <c r="H60" s="21"/>
      <c r="I60" s="131">
        <v>45870</v>
      </c>
      <c r="J60" s="131">
        <v>45891</v>
      </c>
    </row>
    <row r="61" spans="1:10" ht="28">
      <c r="A61" s="21" t="s">
        <v>483</v>
      </c>
      <c r="B61" s="21" t="s">
        <v>327</v>
      </c>
      <c r="C61" s="21">
        <v>0</v>
      </c>
      <c r="D61" s="21" t="s">
        <v>17</v>
      </c>
      <c r="E61" s="21"/>
      <c r="F61" s="21" t="s">
        <v>487</v>
      </c>
      <c r="G61" s="130">
        <v>1</v>
      </c>
      <c r="H61" s="21"/>
      <c r="I61" s="131">
        <v>45870</v>
      </c>
      <c r="J61" s="131">
        <v>45891</v>
      </c>
    </row>
    <row r="62" spans="1:10" ht="28">
      <c r="A62" s="21" t="s">
        <v>485</v>
      </c>
      <c r="B62" s="21" t="s">
        <v>327</v>
      </c>
      <c r="C62" s="21">
        <v>0</v>
      </c>
      <c r="D62" s="21" t="s">
        <v>17</v>
      </c>
      <c r="E62" s="21"/>
      <c r="F62" s="21" t="s">
        <v>481</v>
      </c>
      <c r="G62" s="130">
        <v>1</v>
      </c>
      <c r="H62" s="21"/>
      <c r="I62" s="131">
        <v>45870</v>
      </c>
      <c r="J62" s="131">
        <v>45891</v>
      </c>
    </row>
    <row r="63" spans="1:10" ht="28">
      <c r="A63" s="21" t="s">
        <v>486</v>
      </c>
      <c r="B63" s="21" t="s">
        <v>327</v>
      </c>
      <c r="C63" s="21">
        <v>0</v>
      </c>
      <c r="D63" s="21" t="s">
        <v>17</v>
      </c>
      <c r="E63" s="21"/>
      <c r="F63" s="21" t="s">
        <v>488</v>
      </c>
      <c r="G63" s="130">
        <v>1</v>
      </c>
      <c r="H63" s="21"/>
      <c r="I63" s="131">
        <v>45870</v>
      </c>
      <c r="J63" s="131">
        <v>45891</v>
      </c>
    </row>
    <row r="64" spans="1:10" ht="42">
      <c r="A64" s="21" t="s">
        <v>482</v>
      </c>
      <c r="B64" s="21" t="s">
        <v>327</v>
      </c>
      <c r="C64" s="21">
        <v>0</v>
      </c>
      <c r="D64" s="21" t="s">
        <v>17</v>
      </c>
      <c r="E64" s="21"/>
      <c r="F64" s="21" t="s">
        <v>481</v>
      </c>
      <c r="G64" s="130">
        <v>1</v>
      </c>
      <c r="H64" s="21"/>
      <c r="I64" s="131">
        <v>45870</v>
      </c>
      <c r="J64" s="131">
        <v>45870</v>
      </c>
    </row>
    <row r="65" spans="1:20" ht="28">
      <c r="A65" s="21" t="s">
        <v>489</v>
      </c>
      <c r="B65" s="21" t="s">
        <v>325</v>
      </c>
      <c r="C65" s="21">
        <v>0</v>
      </c>
      <c r="D65" s="21" t="s">
        <v>17</v>
      </c>
      <c r="E65" s="21"/>
      <c r="F65" s="21" t="s">
        <v>490</v>
      </c>
      <c r="G65" s="130">
        <v>1</v>
      </c>
      <c r="H65" s="21"/>
      <c r="I65" s="131">
        <v>45875</v>
      </c>
      <c r="J65" s="131"/>
    </row>
    <row r="66" spans="1:20" ht="42">
      <c r="A66" s="21" t="s">
        <v>491</v>
      </c>
      <c r="B66" s="21" t="s">
        <v>325</v>
      </c>
      <c r="C66" s="21">
        <v>0</v>
      </c>
      <c r="D66" s="21" t="s">
        <v>17</v>
      </c>
      <c r="E66" s="21"/>
      <c r="F66" s="21" t="s">
        <v>492</v>
      </c>
      <c r="G66" s="130">
        <v>1</v>
      </c>
      <c r="H66" s="21"/>
      <c r="I66" s="131">
        <v>45875</v>
      </c>
      <c r="J66" s="131">
        <v>45877</v>
      </c>
    </row>
    <row r="67" spans="1:20" ht="42">
      <c r="A67" s="21" t="s">
        <v>493</v>
      </c>
      <c r="B67" s="21" t="s">
        <v>325</v>
      </c>
      <c r="C67" s="21">
        <v>0</v>
      </c>
      <c r="D67" s="21" t="s">
        <v>17</v>
      </c>
      <c r="E67" s="21"/>
      <c r="F67" s="21" t="s">
        <v>481</v>
      </c>
      <c r="G67" s="130">
        <v>1</v>
      </c>
      <c r="H67" s="21"/>
      <c r="I67" s="131">
        <v>45881</v>
      </c>
      <c r="J67" s="131">
        <v>45895</v>
      </c>
    </row>
    <row r="68" spans="1:20" ht="28">
      <c r="A68" s="21" t="s">
        <v>494</v>
      </c>
      <c r="B68" s="21" t="s">
        <v>325</v>
      </c>
      <c r="C68" s="21">
        <v>0</v>
      </c>
      <c r="D68" s="21" t="s">
        <v>17</v>
      </c>
      <c r="E68" s="21"/>
      <c r="F68" s="21" t="s">
        <v>481</v>
      </c>
      <c r="G68" s="130">
        <v>1</v>
      </c>
      <c r="H68" s="21"/>
      <c r="I68" s="131">
        <v>45883</v>
      </c>
      <c r="J68" s="131">
        <v>45895</v>
      </c>
    </row>
    <row r="69" spans="1:20" ht="29.5" customHeight="1">
      <c r="A69" s="21" t="s">
        <v>495</v>
      </c>
      <c r="B69" s="21" t="s">
        <v>325</v>
      </c>
      <c r="C69" s="21">
        <v>0</v>
      </c>
      <c r="D69" s="21" t="s">
        <v>17</v>
      </c>
      <c r="E69" s="21"/>
      <c r="F69" s="21" t="s">
        <v>505</v>
      </c>
      <c r="G69" s="130">
        <v>1</v>
      </c>
      <c r="H69" s="21"/>
      <c r="I69" s="131">
        <v>45883</v>
      </c>
      <c r="J69" s="131">
        <v>45919</v>
      </c>
    </row>
    <row r="70" spans="1:20" ht="28">
      <c r="A70" s="21" t="s">
        <v>501</v>
      </c>
      <c r="B70" s="21" t="s">
        <v>325</v>
      </c>
      <c r="C70" s="21">
        <v>0</v>
      </c>
      <c r="D70" s="21" t="s">
        <v>17</v>
      </c>
      <c r="E70" s="21"/>
      <c r="F70" s="21"/>
      <c r="G70" s="130">
        <v>1</v>
      </c>
      <c r="H70" s="21"/>
      <c r="I70" s="131">
        <v>45891</v>
      </c>
      <c r="J70" s="131">
        <v>45896</v>
      </c>
    </row>
    <row r="71" spans="1:20" ht="42">
      <c r="A71" s="21" t="s">
        <v>503</v>
      </c>
      <c r="B71" s="21" t="s">
        <v>325</v>
      </c>
      <c r="C71" s="21">
        <v>0</v>
      </c>
      <c r="D71" s="21" t="s">
        <v>17</v>
      </c>
      <c r="E71" s="21"/>
      <c r="F71" s="21"/>
      <c r="G71" s="130">
        <v>1</v>
      </c>
      <c r="H71" s="21"/>
      <c r="I71" s="131">
        <v>45901</v>
      </c>
      <c r="J71" s="131"/>
    </row>
    <row r="72" spans="1:20" ht="28">
      <c r="A72" s="21" t="s">
        <v>504</v>
      </c>
      <c r="B72" s="21" t="s">
        <v>327</v>
      </c>
      <c r="C72" s="21">
        <v>0</v>
      </c>
      <c r="D72" s="21" t="s">
        <v>17</v>
      </c>
      <c r="E72" s="21"/>
      <c r="F72" s="21"/>
      <c r="G72" s="130">
        <v>1</v>
      </c>
      <c r="H72" s="21"/>
      <c r="I72" s="131">
        <v>45901</v>
      </c>
      <c r="J72" s="131">
        <v>45905</v>
      </c>
    </row>
    <row r="73" spans="1:20" ht="28">
      <c r="A73" s="21" t="s">
        <v>506</v>
      </c>
      <c r="B73" s="21" t="s">
        <v>325</v>
      </c>
      <c r="C73" s="21">
        <v>0</v>
      </c>
      <c r="D73" s="21" t="s">
        <v>17</v>
      </c>
      <c r="E73" s="21"/>
      <c r="F73" s="21"/>
      <c r="G73" s="130">
        <v>1</v>
      </c>
      <c r="H73" s="21"/>
      <c r="I73" s="131">
        <v>45901</v>
      </c>
      <c r="J73" s="131"/>
    </row>
    <row r="74" spans="1:20" ht="28">
      <c r="A74" s="117" t="s">
        <v>438</v>
      </c>
      <c r="B74" s="117" t="s">
        <v>417</v>
      </c>
      <c r="C74" s="117">
        <v>1</v>
      </c>
      <c r="D74" s="117" t="s">
        <v>324</v>
      </c>
      <c r="E74" s="117"/>
      <c r="F74" s="117"/>
      <c r="G74" s="130">
        <v>1</v>
      </c>
      <c r="H74" s="117"/>
      <c r="I74" s="152">
        <v>45901</v>
      </c>
      <c r="J74" s="152">
        <v>45944</v>
      </c>
      <c r="K74" s="153"/>
      <c r="L74" s="153"/>
      <c r="M74" s="153"/>
      <c r="N74" s="153"/>
      <c r="O74" s="153"/>
      <c r="P74" s="153"/>
      <c r="Q74" s="154"/>
      <c r="R74" s="153"/>
      <c r="S74" s="155"/>
      <c r="T74" s="155"/>
    </row>
    <row r="75" spans="1:20">
      <c r="A75" s="21" t="s">
        <v>439</v>
      </c>
      <c r="B75" s="21" t="s">
        <v>417</v>
      </c>
      <c r="C75" s="21">
        <v>0</v>
      </c>
      <c r="D75" s="21" t="s">
        <v>17</v>
      </c>
      <c r="E75" s="21"/>
      <c r="F75" s="21"/>
      <c r="G75" s="130">
        <v>1</v>
      </c>
      <c r="H75" s="21"/>
      <c r="I75" s="131">
        <v>45901</v>
      </c>
      <c r="J75" s="131">
        <v>45904</v>
      </c>
      <c r="K75" s="12"/>
      <c r="L75" s="12"/>
      <c r="M75" s="12"/>
      <c r="N75" s="12"/>
      <c r="O75" s="12"/>
      <c r="P75" s="12"/>
      <c r="Q75" s="12"/>
      <c r="R75" s="12"/>
      <c r="S75" s="12"/>
      <c r="T75" s="12"/>
    </row>
    <row r="76" spans="1:20" ht="28">
      <c r="A76" s="117" t="s">
        <v>440</v>
      </c>
      <c r="B76" s="117" t="s">
        <v>417</v>
      </c>
      <c r="C76" s="117">
        <v>1</v>
      </c>
      <c r="D76" s="117" t="s">
        <v>324</v>
      </c>
      <c r="E76" s="117"/>
      <c r="F76" s="117"/>
      <c r="G76" s="130">
        <v>1</v>
      </c>
      <c r="H76" s="117"/>
      <c r="I76" s="152">
        <v>45901</v>
      </c>
      <c r="J76" s="152">
        <v>45944</v>
      </c>
      <c r="K76" s="112"/>
      <c r="L76" s="112"/>
      <c r="M76" s="112">
        <v>5</v>
      </c>
      <c r="N76" s="112" t="s">
        <v>54</v>
      </c>
      <c r="O76" s="113"/>
      <c r="P76" s="112"/>
      <c r="Q76" s="113"/>
      <c r="R76" s="113"/>
      <c r="S76" s="113"/>
      <c r="T76" s="113"/>
    </row>
    <row r="77" spans="1:20" ht="28">
      <c r="A77" s="21" t="s">
        <v>511</v>
      </c>
      <c r="B77" s="21" t="s">
        <v>417</v>
      </c>
      <c r="C77" s="21">
        <v>0</v>
      </c>
      <c r="D77" s="21" t="s">
        <v>17</v>
      </c>
      <c r="E77" s="21"/>
      <c r="F77" s="21"/>
      <c r="G77" s="130">
        <v>1</v>
      </c>
      <c r="H77" s="21"/>
      <c r="I77" s="131">
        <v>45912</v>
      </c>
      <c r="J77" s="131">
        <v>45918</v>
      </c>
    </row>
    <row r="78" spans="1:20" ht="28">
      <c r="A78" s="21" t="s">
        <v>514</v>
      </c>
      <c r="B78" s="21" t="s">
        <v>325</v>
      </c>
      <c r="C78" s="21">
        <v>0</v>
      </c>
      <c r="D78" s="21" t="s">
        <v>17</v>
      </c>
      <c r="E78" s="21"/>
      <c r="F78" s="21"/>
      <c r="G78" s="130">
        <v>1</v>
      </c>
      <c r="H78" s="21"/>
      <c r="I78" s="131">
        <v>45917</v>
      </c>
      <c r="J78" s="131">
        <v>45919</v>
      </c>
    </row>
    <row r="79" spans="1:20" ht="28">
      <c r="A79" s="21" t="s">
        <v>515</v>
      </c>
      <c r="B79" s="21" t="s">
        <v>325</v>
      </c>
      <c r="C79" s="21">
        <v>0</v>
      </c>
      <c r="D79" s="21" t="s">
        <v>17</v>
      </c>
      <c r="E79" s="21"/>
      <c r="F79" s="21"/>
      <c r="G79" s="130">
        <v>1</v>
      </c>
      <c r="H79" s="21"/>
      <c r="I79" s="131">
        <v>45917</v>
      </c>
      <c r="J79" s="131">
        <v>45919</v>
      </c>
    </row>
    <row r="80" spans="1:20" ht="42">
      <c r="A80" s="21" t="s">
        <v>516</v>
      </c>
      <c r="B80" s="21" t="s">
        <v>325</v>
      </c>
      <c r="C80" s="21">
        <v>0</v>
      </c>
      <c r="D80" s="21" t="s">
        <v>17</v>
      </c>
      <c r="E80" s="21"/>
      <c r="F80" s="21"/>
      <c r="G80" s="130">
        <v>1</v>
      </c>
      <c r="H80" s="21"/>
      <c r="I80" s="131">
        <v>45917</v>
      </c>
      <c r="J80" s="131">
        <v>45919</v>
      </c>
    </row>
    <row r="81" spans="1:10" ht="42">
      <c r="A81" s="21" t="s">
        <v>517</v>
      </c>
      <c r="B81" s="21" t="s">
        <v>325</v>
      </c>
      <c r="C81" s="21">
        <v>0</v>
      </c>
      <c r="D81" s="21" t="s">
        <v>17</v>
      </c>
      <c r="E81" s="21"/>
      <c r="F81" s="21"/>
      <c r="G81" s="130">
        <v>1</v>
      </c>
      <c r="H81" s="21"/>
      <c r="I81" s="131">
        <v>45917</v>
      </c>
      <c r="J81" s="131">
        <v>45919</v>
      </c>
    </row>
    <row r="82" spans="1:10" ht="28">
      <c r="A82" s="21" t="s">
        <v>518</v>
      </c>
      <c r="B82" s="21" t="s">
        <v>325</v>
      </c>
      <c r="C82" s="21">
        <v>0</v>
      </c>
      <c r="D82" s="21" t="s">
        <v>17</v>
      </c>
      <c r="E82" s="21"/>
      <c r="F82" s="21"/>
      <c r="G82" s="130">
        <v>1</v>
      </c>
      <c r="H82" s="21"/>
      <c r="I82" s="131">
        <v>45917</v>
      </c>
      <c r="J82" s="131">
        <v>45919</v>
      </c>
    </row>
    <row r="83" spans="1:10" ht="28">
      <c r="A83" s="21" t="s">
        <v>519</v>
      </c>
      <c r="B83" s="21" t="s">
        <v>325</v>
      </c>
      <c r="C83" s="21">
        <v>0</v>
      </c>
      <c r="D83" s="21" t="s">
        <v>17</v>
      </c>
      <c r="E83" s="21"/>
      <c r="F83" s="21"/>
      <c r="G83" s="130">
        <v>1</v>
      </c>
      <c r="H83" s="21"/>
      <c r="I83" s="131">
        <v>45918</v>
      </c>
      <c r="J83" s="131">
        <v>45922</v>
      </c>
    </row>
    <row r="84" spans="1:10" ht="28">
      <c r="A84" s="159" t="s">
        <v>520</v>
      </c>
      <c r="B84" s="21" t="s">
        <v>325</v>
      </c>
      <c r="C84" s="21">
        <v>0</v>
      </c>
      <c r="D84" s="21" t="s">
        <v>17</v>
      </c>
      <c r="E84" s="21"/>
      <c r="F84" s="21"/>
      <c r="G84" s="130">
        <v>1</v>
      </c>
      <c r="H84" s="21"/>
      <c r="I84" s="131">
        <v>45915</v>
      </c>
      <c r="J84" s="131">
        <v>45923</v>
      </c>
    </row>
    <row r="85" spans="1:10" ht="42">
      <c r="A85" s="159" t="s">
        <v>521</v>
      </c>
      <c r="B85" s="21" t="s">
        <v>325</v>
      </c>
      <c r="C85" s="21">
        <v>0</v>
      </c>
      <c r="D85" s="21" t="s">
        <v>17</v>
      </c>
      <c r="E85" s="21"/>
      <c r="F85" s="21"/>
      <c r="G85" s="130">
        <v>1</v>
      </c>
      <c r="H85" s="21"/>
      <c r="I85" s="131">
        <v>45919</v>
      </c>
      <c r="J85" s="131">
        <v>45919</v>
      </c>
    </row>
    <row r="86" spans="1:10" ht="42">
      <c r="A86" s="159" t="s">
        <v>521</v>
      </c>
      <c r="B86" s="21" t="s">
        <v>325</v>
      </c>
      <c r="C86" s="21">
        <v>0</v>
      </c>
      <c r="D86" s="21" t="s">
        <v>17</v>
      </c>
      <c r="E86" s="21"/>
      <c r="F86" s="21"/>
      <c r="G86" s="130">
        <v>1</v>
      </c>
      <c r="H86" s="21"/>
      <c r="I86" s="131">
        <v>45922</v>
      </c>
      <c r="J86" s="131">
        <v>45922</v>
      </c>
    </row>
    <row r="87" spans="1:10" ht="42">
      <c r="A87" s="159" t="s">
        <v>522</v>
      </c>
      <c r="B87" s="21" t="s">
        <v>325</v>
      </c>
      <c r="C87" s="21">
        <v>0</v>
      </c>
      <c r="D87" s="21" t="s">
        <v>17</v>
      </c>
      <c r="E87" s="21"/>
      <c r="F87" s="21"/>
      <c r="G87" s="130">
        <v>1</v>
      </c>
      <c r="H87" s="21"/>
      <c r="I87" s="131">
        <v>45923</v>
      </c>
      <c r="J87" s="131">
        <v>45923</v>
      </c>
    </row>
    <row r="88" spans="1:10" ht="42">
      <c r="A88" s="159" t="s">
        <v>522</v>
      </c>
      <c r="B88" s="21" t="s">
        <v>325</v>
      </c>
      <c r="C88" s="21">
        <v>0</v>
      </c>
      <c r="D88" s="21" t="s">
        <v>17</v>
      </c>
      <c r="E88" s="21"/>
      <c r="F88" s="21"/>
      <c r="G88" s="130">
        <v>1</v>
      </c>
      <c r="H88" s="21"/>
      <c r="I88" s="131">
        <v>45923</v>
      </c>
      <c r="J88" s="131">
        <v>45923</v>
      </c>
    </row>
    <row r="89" spans="1:10" ht="28">
      <c r="A89" s="159" t="s">
        <v>523</v>
      </c>
      <c r="B89" s="21" t="s">
        <v>325</v>
      </c>
      <c r="C89" s="21">
        <v>0</v>
      </c>
      <c r="D89" s="21" t="s">
        <v>17</v>
      </c>
      <c r="E89" s="21"/>
      <c r="F89" s="21"/>
      <c r="G89" s="130">
        <v>1</v>
      </c>
      <c r="H89" s="21"/>
      <c r="I89" s="131">
        <v>45923</v>
      </c>
      <c r="J89" s="131">
        <v>45924</v>
      </c>
    </row>
    <row r="90" spans="1:10" ht="28">
      <c r="A90" s="159" t="s">
        <v>524</v>
      </c>
      <c r="B90" s="21" t="s">
        <v>325</v>
      </c>
      <c r="C90" s="21">
        <v>0</v>
      </c>
      <c r="D90" s="21" t="s">
        <v>17</v>
      </c>
      <c r="E90" s="21"/>
      <c r="F90" s="21"/>
      <c r="G90" s="130">
        <v>1</v>
      </c>
      <c r="H90" s="21"/>
      <c r="I90" s="131">
        <v>45924</v>
      </c>
      <c r="J90" s="131">
        <v>45929</v>
      </c>
    </row>
    <row r="91" spans="1:10" ht="28">
      <c r="A91" s="159" t="s">
        <v>525</v>
      </c>
      <c r="B91" s="168" t="s">
        <v>325</v>
      </c>
      <c r="C91" s="168">
        <v>0</v>
      </c>
      <c r="D91" s="168" t="s">
        <v>17</v>
      </c>
      <c r="E91" s="168"/>
      <c r="F91" s="168"/>
      <c r="G91" s="169">
        <v>1</v>
      </c>
      <c r="H91" s="168"/>
      <c r="I91" s="170">
        <v>45922</v>
      </c>
      <c r="J91" s="170">
        <v>45924</v>
      </c>
    </row>
    <row r="92" spans="1:10" ht="42">
      <c r="A92" s="159" t="s">
        <v>526</v>
      </c>
      <c r="B92" s="168" t="s">
        <v>406</v>
      </c>
      <c r="C92" s="168">
        <v>1</v>
      </c>
      <c r="D92" s="168" t="s">
        <v>324</v>
      </c>
      <c r="E92" s="168" t="s">
        <v>528</v>
      </c>
      <c r="F92" s="168" t="s">
        <v>527</v>
      </c>
      <c r="G92" s="169">
        <v>1</v>
      </c>
      <c r="H92" s="168"/>
      <c r="I92" s="170">
        <v>45946</v>
      </c>
      <c r="J92" s="170">
        <v>45950</v>
      </c>
    </row>
    <row r="93" spans="1:10" ht="28">
      <c r="A93" s="159" t="s">
        <v>557</v>
      </c>
      <c r="B93" s="168"/>
      <c r="C93" s="168"/>
      <c r="D93" s="168"/>
      <c r="E93" s="168"/>
      <c r="F93" s="168"/>
      <c r="G93" s="169">
        <v>1</v>
      </c>
      <c r="H93" s="168"/>
      <c r="I93" s="170">
        <v>45946</v>
      </c>
      <c r="J93" s="170">
        <v>45951</v>
      </c>
    </row>
    <row r="94" spans="1:10">
      <c r="A94" s="169" t="s">
        <v>558</v>
      </c>
      <c r="B94" s="168"/>
      <c r="C94" s="168"/>
      <c r="D94" s="168"/>
      <c r="E94" s="168"/>
      <c r="F94" s="168"/>
      <c r="G94" s="169">
        <v>1</v>
      </c>
      <c r="H94" s="168"/>
      <c r="I94" s="170">
        <v>45946</v>
      </c>
      <c r="J94" s="170">
        <v>45951</v>
      </c>
    </row>
    <row r="95" spans="1:10" ht="28">
      <c r="A95" s="166" t="s">
        <v>549</v>
      </c>
      <c r="B95" s="166"/>
      <c r="C95" s="166"/>
      <c r="D95" s="166"/>
      <c r="E95" s="166" t="s">
        <v>550</v>
      </c>
      <c r="F95" s="174" t="s">
        <v>565</v>
      </c>
      <c r="G95" s="171"/>
      <c r="H95" s="171"/>
      <c r="I95" s="167">
        <v>45951</v>
      </c>
      <c r="J95" s="171"/>
    </row>
    <row r="96" spans="1:10" ht="28">
      <c r="A96" s="112" t="s">
        <v>551</v>
      </c>
      <c r="B96" s="112"/>
      <c r="C96" s="112"/>
      <c r="D96" s="112"/>
      <c r="E96" s="113"/>
      <c r="F96" s="174" t="s">
        <v>565</v>
      </c>
      <c r="G96" s="113"/>
      <c r="H96" s="113"/>
      <c r="I96" s="167">
        <v>45951</v>
      </c>
      <c r="J96" s="113"/>
    </row>
    <row r="97" spans="1:10" ht="28">
      <c r="A97" s="112" t="s">
        <v>552</v>
      </c>
      <c r="B97" s="112"/>
      <c r="C97" s="112"/>
      <c r="D97" s="112"/>
      <c r="E97" s="113"/>
      <c r="F97" s="174" t="s">
        <v>565</v>
      </c>
      <c r="G97" s="113"/>
      <c r="H97" s="113"/>
      <c r="I97" s="167">
        <v>45951</v>
      </c>
      <c r="J97" s="113"/>
    </row>
    <row r="98" spans="1:10" ht="28">
      <c r="A98" s="112" t="s">
        <v>553</v>
      </c>
      <c r="B98" s="112"/>
      <c r="C98" s="112"/>
      <c r="D98" s="112"/>
      <c r="E98" s="113"/>
      <c r="F98" s="174" t="s">
        <v>565</v>
      </c>
      <c r="G98" s="113"/>
      <c r="H98" s="113"/>
      <c r="I98" s="167">
        <v>45951</v>
      </c>
      <c r="J98" s="113"/>
    </row>
    <row r="99" spans="1:10" ht="28">
      <c r="A99" s="112" t="s">
        <v>554</v>
      </c>
      <c r="B99" s="112"/>
      <c r="C99" s="112"/>
      <c r="D99" s="112"/>
      <c r="E99" s="113"/>
      <c r="F99" s="174" t="s">
        <v>565</v>
      </c>
      <c r="G99" s="113"/>
      <c r="H99" s="113"/>
      <c r="I99" s="167">
        <v>45951</v>
      </c>
      <c r="J99" s="113"/>
    </row>
    <row r="100" spans="1:10" ht="42">
      <c r="A100" s="112" t="s">
        <v>555</v>
      </c>
      <c r="B100" s="112"/>
      <c r="C100" s="112"/>
      <c r="D100" s="112"/>
      <c r="E100" s="113"/>
      <c r="F100" s="174" t="s">
        <v>565</v>
      </c>
      <c r="G100" s="113"/>
      <c r="H100" s="113"/>
      <c r="I100" s="167">
        <v>45951</v>
      </c>
      <c r="J100" s="113"/>
    </row>
    <row r="101" spans="1:10" ht="28">
      <c r="A101" s="112" t="s">
        <v>556</v>
      </c>
      <c r="B101" s="112"/>
      <c r="C101" s="112"/>
      <c r="D101" s="112"/>
      <c r="E101" s="113"/>
      <c r="F101" s="174" t="s">
        <v>565</v>
      </c>
      <c r="G101" s="113"/>
      <c r="H101" s="113"/>
      <c r="I101" s="167">
        <v>45951</v>
      </c>
      <c r="J101" s="113"/>
    </row>
    <row r="102" spans="1:10">
      <c r="A102" s="169" t="s">
        <v>564</v>
      </c>
      <c r="B102" s="168"/>
      <c r="C102" s="168"/>
      <c r="D102" s="168"/>
      <c r="E102" s="168"/>
      <c r="F102" s="168"/>
      <c r="G102" s="169">
        <v>1</v>
      </c>
      <c r="H102" s="168"/>
      <c r="I102" s="170">
        <v>45953</v>
      </c>
      <c r="J102" s="170">
        <v>45953</v>
      </c>
    </row>
    <row r="103" spans="1:10">
      <c r="A103" s="169" t="s">
        <v>566</v>
      </c>
      <c r="B103" s="168" t="s">
        <v>406</v>
      </c>
      <c r="C103" s="168">
        <v>1</v>
      </c>
      <c r="D103" s="168" t="s">
        <v>324</v>
      </c>
      <c r="E103" s="168"/>
      <c r="F103" s="168"/>
      <c r="G103" s="169">
        <v>1</v>
      </c>
      <c r="H103" s="168"/>
      <c r="I103" s="170">
        <v>45946</v>
      </c>
      <c r="J103" s="170">
        <v>45959</v>
      </c>
    </row>
    <row r="104" spans="1:10">
      <c r="A104" s="169" t="s">
        <v>567</v>
      </c>
      <c r="B104" s="168"/>
      <c r="C104" s="168"/>
      <c r="D104" s="168"/>
      <c r="E104" s="168"/>
      <c r="F104" s="168"/>
      <c r="G104" s="169">
        <v>1</v>
      </c>
      <c r="H104" s="168"/>
      <c r="I104" s="170">
        <v>45957</v>
      </c>
      <c r="J104" s="170">
        <v>45959</v>
      </c>
    </row>
    <row r="105" spans="1:10">
      <c r="A105" s="169" t="s">
        <v>568</v>
      </c>
      <c r="B105" s="168"/>
      <c r="C105" s="168"/>
      <c r="D105" s="168"/>
      <c r="E105" s="168"/>
      <c r="F105" s="168"/>
      <c r="G105" s="169">
        <v>1</v>
      </c>
      <c r="H105" s="168"/>
      <c r="I105" s="170">
        <v>45957</v>
      </c>
      <c r="J105" s="170">
        <v>45959</v>
      </c>
    </row>
    <row r="106" spans="1:10">
      <c r="A106" s="169" t="s">
        <v>569</v>
      </c>
      <c r="B106" s="168"/>
      <c r="C106" s="168"/>
      <c r="D106" s="168"/>
      <c r="E106" s="168"/>
      <c r="F106" s="168"/>
      <c r="G106" s="169">
        <v>1</v>
      </c>
      <c r="H106" s="168"/>
      <c r="I106" s="170">
        <v>45957</v>
      </c>
      <c r="J106" s="170">
        <v>45959</v>
      </c>
    </row>
    <row r="107" spans="1:10">
      <c r="A107" s="169" t="s">
        <v>570</v>
      </c>
      <c r="B107" s="168"/>
      <c r="C107" s="168"/>
      <c r="D107" s="168"/>
      <c r="E107" s="168"/>
      <c r="F107" s="168"/>
      <c r="G107" s="169">
        <v>1</v>
      </c>
      <c r="H107" s="168"/>
      <c r="I107" s="170">
        <v>45957</v>
      </c>
      <c r="J107" s="170">
        <v>45959</v>
      </c>
    </row>
    <row r="108" spans="1:10">
      <c r="A108" s="169" t="s">
        <v>571</v>
      </c>
      <c r="B108" s="168"/>
      <c r="C108" s="168"/>
      <c r="D108" s="168"/>
      <c r="E108" s="168"/>
      <c r="F108" s="168"/>
      <c r="G108" s="169">
        <v>1</v>
      </c>
      <c r="H108" s="168"/>
      <c r="I108" s="170">
        <v>45957</v>
      </c>
      <c r="J108" s="170">
        <v>45959</v>
      </c>
    </row>
    <row r="109" spans="1:10">
      <c r="A109" s="169" t="s">
        <v>572</v>
      </c>
      <c r="B109" s="168"/>
      <c r="C109" s="168"/>
      <c r="D109" s="168"/>
      <c r="E109" s="168"/>
      <c r="F109" s="168"/>
      <c r="G109" s="169">
        <v>1</v>
      </c>
      <c r="H109" s="168"/>
      <c r="I109" s="170">
        <v>45957</v>
      </c>
      <c r="J109" s="170">
        <v>45959</v>
      </c>
    </row>
  </sheetData>
  <autoFilter ref="A1:H92" xr:uid="{00000000-0009-0000-0000-000002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Hoja2!$B$3:$B$8</xm:f>
          </x14:formula1>
          <xm:sqref>D2:D16 D18:D24 D26:D31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1"/>
  <sheetViews>
    <sheetView topLeftCell="A122" zoomScale="83" zoomScaleNormal="80" workbookViewId="0">
      <selection activeCell="E130" sqref="E130"/>
    </sheetView>
  </sheetViews>
  <sheetFormatPr baseColWidth="10" defaultColWidth="11" defaultRowHeight="14.5"/>
  <cols>
    <col min="1" max="1" width="22.7265625" style="40" customWidth="1"/>
    <col min="2" max="2" width="11" style="39"/>
    <col min="3" max="4" width="11.26953125" style="39" bestFit="1" customWidth="1"/>
    <col min="5" max="5" width="52" style="40" customWidth="1"/>
    <col min="6" max="6" width="39.90625" style="39" customWidth="1"/>
    <col min="7" max="7" width="11.26953125" style="39" bestFit="1" customWidth="1"/>
    <col min="8" max="16384" width="11" style="39"/>
  </cols>
  <sheetData>
    <row r="1" spans="1:10" ht="42">
      <c r="A1" s="10" t="s">
        <v>0</v>
      </c>
      <c r="B1" s="10" t="s">
        <v>1</v>
      </c>
      <c r="C1" s="10" t="s">
        <v>50</v>
      </c>
      <c r="D1" s="10" t="s">
        <v>51</v>
      </c>
      <c r="E1" s="10" t="s">
        <v>13</v>
      </c>
      <c r="F1" s="10" t="s">
        <v>60</v>
      </c>
      <c r="G1" s="11" t="s">
        <v>11</v>
      </c>
      <c r="H1" s="10" t="s">
        <v>12</v>
      </c>
      <c r="I1" s="11" t="s">
        <v>58</v>
      </c>
      <c r="J1" s="11" t="s">
        <v>58</v>
      </c>
    </row>
    <row r="2" spans="1:10" ht="55.5" customHeight="1">
      <c r="A2" s="26" t="s">
        <v>96</v>
      </c>
      <c r="B2" s="26" t="s">
        <v>69</v>
      </c>
      <c r="C2" s="26">
        <v>0</v>
      </c>
      <c r="D2" s="26" t="s">
        <v>17</v>
      </c>
      <c r="E2" s="26" t="s">
        <v>70</v>
      </c>
      <c r="F2" s="26" t="s">
        <v>18</v>
      </c>
      <c r="G2" s="27">
        <v>1</v>
      </c>
      <c r="H2" s="26" t="s">
        <v>97</v>
      </c>
      <c r="I2" s="28">
        <v>45701</v>
      </c>
      <c r="J2" s="28">
        <v>45705</v>
      </c>
    </row>
    <row r="3" spans="1:10" ht="55.5" customHeight="1">
      <c r="A3" s="26" t="s">
        <v>96</v>
      </c>
      <c r="B3" s="26" t="s">
        <v>69</v>
      </c>
      <c r="C3" s="26">
        <v>0</v>
      </c>
      <c r="D3" s="26" t="s">
        <v>17</v>
      </c>
      <c r="E3" s="26" t="s">
        <v>98</v>
      </c>
      <c r="F3" s="26" t="s">
        <v>18</v>
      </c>
      <c r="G3" s="27">
        <v>1</v>
      </c>
      <c r="H3" s="26" t="s">
        <v>97</v>
      </c>
      <c r="I3" s="28">
        <v>45706</v>
      </c>
      <c r="J3" s="28">
        <v>45708</v>
      </c>
    </row>
    <row r="4" spans="1:10" ht="55.5" customHeight="1">
      <c r="A4" s="29" t="s">
        <v>96</v>
      </c>
      <c r="B4" s="29" t="s">
        <v>69</v>
      </c>
      <c r="C4" s="29">
        <v>0</v>
      </c>
      <c r="D4" s="29" t="s">
        <v>17</v>
      </c>
      <c r="E4" s="29" t="s">
        <v>102</v>
      </c>
      <c r="F4" s="29" t="s">
        <v>18</v>
      </c>
      <c r="G4" s="30">
        <v>1</v>
      </c>
      <c r="H4" s="29" t="s">
        <v>99</v>
      </c>
      <c r="I4" s="31">
        <v>45708</v>
      </c>
      <c r="J4" s="31">
        <v>45708</v>
      </c>
    </row>
    <row r="5" spans="1:10" ht="55.5" customHeight="1">
      <c r="A5" s="15" t="s">
        <v>96</v>
      </c>
      <c r="B5" s="15" t="s">
        <v>69</v>
      </c>
      <c r="C5" s="15">
        <v>0</v>
      </c>
      <c r="D5" s="15" t="s">
        <v>17</v>
      </c>
      <c r="E5" s="15" t="s">
        <v>103</v>
      </c>
      <c r="F5" s="15" t="s">
        <v>104</v>
      </c>
      <c r="G5" s="16">
        <v>1</v>
      </c>
      <c r="H5" s="15" t="s">
        <v>99</v>
      </c>
      <c r="I5" s="17">
        <v>45709</v>
      </c>
      <c r="J5" s="17">
        <v>45709</v>
      </c>
    </row>
    <row r="6" spans="1:10" ht="55.5" customHeight="1">
      <c r="A6" s="41" t="s">
        <v>96</v>
      </c>
      <c r="B6" s="41" t="s">
        <v>69</v>
      </c>
      <c r="C6" s="41">
        <v>1</v>
      </c>
      <c r="D6" s="41" t="s">
        <v>105</v>
      </c>
      <c r="E6" s="41" t="s">
        <v>106</v>
      </c>
      <c r="F6" s="47" t="s">
        <v>123</v>
      </c>
      <c r="G6" s="42">
        <v>0.95</v>
      </c>
      <c r="H6" s="41"/>
      <c r="I6" s="43">
        <v>45713</v>
      </c>
      <c r="J6" s="43">
        <v>45722</v>
      </c>
    </row>
    <row r="7" spans="1:10">
      <c r="A7" s="18"/>
      <c r="B7" s="18"/>
      <c r="C7" s="18"/>
      <c r="D7" s="18"/>
      <c r="E7" s="18"/>
      <c r="F7" s="18"/>
      <c r="G7" s="19"/>
      <c r="H7" s="18"/>
      <c r="I7" s="20"/>
      <c r="J7" s="20"/>
    </row>
    <row r="8" spans="1:10" ht="28">
      <c r="A8" s="32" t="s">
        <v>61</v>
      </c>
      <c r="B8" s="32" t="s">
        <v>35</v>
      </c>
      <c r="C8" s="32">
        <v>0</v>
      </c>
      <c r="D8" s="32" t="s">
        <v>17</v>
      </c>
      <c r="E8" s="32" t="s">
        <v>62</v>
      </c>
      <c r="F8" s="14" t="s">
        <v>18</v>
      </c>
      <c r="G8" s="33">
        <v>1</v>
      </c>
      <c r="H8" s="15" t="s">
        <v>99</v>
      </c>
      <c r="I8" s="34">
        <v>45709</v>
      </c>
      <c r="J8" s="34">
        <v>45709</v>
      </c>
    </row>
    <row r="9" spans="1:10" ht="28">
      <c r="A9" s="32" t="s">
        <v>61</v>
      </c>
      <c r="B9" s="32" t="s">
        <v>35</v>
      </c>
      <c r="C9" s="32">
        <v>0</v>
      </c>
      <c r="D9" s="32" t="s">
        <v>17</v>
      </c>
      <c r="E9" s="32" t="s">
        <v>63</v>
      </c>
      <c r="F9" s="14" t="s">
        <v>18</v>
      </c>
      <c r="G9" s="33">
        <v>1</v>
      </c>
      <c r="H9" s="15" t="s">
        <v>99</v>
      </c>
      <c r="I9" s="34">
        <v>45709</v>
      </c>
      <c r="J9" s="34">
        <v>45709</v>
      </c>
    </row>
    <row r="10" spans="1:10" ht="28">
      <c r="A10" s="15" t="s">
        <v>61</v>
      </c>
      <c r="B10" s="15" t="s">
        <v>35</v>
      </c>
      <c r="C10" s="15">
        <v>0</v>
      </c>
      <c r="D10" s="32" t="s">
        <v>17</v>
      </c>
      <c r="E10" s="15" t="s">
        <v>64</v>
      </c>
      <c r="F10" s="14" t="s">
        <v>18</v>
      </c>
      <c r="G10" s="16">
        <v>1</v>
      </c>
      <c r="H10" s="15" t="s">
        <v>99</v>
      </c>
      <c r="I10" s="17">
        <v>45712</v>
      </c>
      <c r="J10" s="17">
        <v>45712</v>
      </c>
    </row>
    <row r="11" spans="1:10" ht="28">
      <c r="A11" s="15" t="s">
        <v>61</v>
      </c>
      <c r="B11" s="15" t="s">
        <v>35</v>
      </c>
      <c r="C11" s="15">
        <v>0</v>
      </c>
      <c r="D11" s="32" t="s">
        <v>17</v>
      </c>
      <c r="E11" s="15" t="s">
        <v>65</v>
      </c>
      <c r="F11" s="14" t="s">
        <v>18</v>
      </c>
      <c r="G11" s="16">
        <v>1</v>
      </c>
      <c r="H11" s="15" t="s">
        <v>99</v>
      </c>
      <c r="I11" s="17">
        <v>45712</v>
      </c>
      <c r="J11" s="17">
        <v>45712</v>
      </c>
    </row>
    <row r="12" spans="1:10" ht="42">
      <c r="A12" s="15" t="s">
        <v>61</v>
      </c>
      <c r="B12" s="15" t="s">
        <v>35</v>
      </c>
      <c r="C12" s="15">
        <v>0</v>
      </c>
      <c r="D12" s="32" t="s">
        <v>17</v>
      </c>
      <c r="E12" s="15" t="s">
        <v>66</v>
      </c>
      <c r="F12" s="14" t="s">
        <v>18</v>
      </c>
      <c r="G12" s="16">
        <v>1</v>
      </c>
      <c r="H12" s="15" t="s">
        <v>99</v>
      </c>
      <c r="I12" s="17">
        <v>45712</v>
      </c>
      <c r="J12" s="17">
        <v>45712</v>
      </c>
    </row>
    <row r="13" spans="1:10" ht="56">
      <c r="A13" s="15" t="s">
        <v>61</v>
      </c>
      <c r="B13" s="15" t="s">
        <v>35</v>
      </c>
      <c r="C13" s="15">
        <v>0</v>
      </c>
      <c r="D13" s="32" t="s">
        <v>17</v>
      </c>
      <c r="E13" s="15" t="s">
        <v>100</v>
      </c>
      <c r="F13" s="15" t="s">
        <v>67</v>
      </c>
      <c r="G13" s="16">
        <v>1</v>
      </c>
      <c r="H13" s="15" t="s">
        <v>99</v>
      </c>
      <c r="I13" s="17">
        <v>45712</v>
      </c>
      <c r="J13" s="17">
        <v>45712</v>
      </c>
    </row>
    <row r="14" spans="1:10" ht="98">
      <c r="A14" s="15" t="s">
        <v>61</v>
      </c>
      <c r="B14" s="15" t="s">
        <v>35</v>
      </c>
      <c r="C14" s="15">
        <v>0</v>
      </c>
      <c r="D14" s="32" t="s">
        <v>17</v>
      </c>
      <c r="E14" s="15" t="s">
        <v>101</v>
      </c>
      <c r="F14" s="15" t="s">
        <v>18</v>
      </c>
      <c r="G14" s="16">
        <v>1</v>
      </c>
      <c r="H14" s="15" t="s">
        <v>144</v>
      </c>
      <c r="I14" s="17">
        <v>45713</v>
      </c>
      <c r="J14" s="17">
        <v>45721</v>
      </c>
    </row>
    <row r="15" spans="1:10" ht="28">
      <c r="A15" s="15" t="s">
        <v>61</v>
      </c>
      <c r="B15" s="15" t="s">
        <v>35</v>
      </c>
      <c r="C15" s="15">
        <v>0</v>
      </c>
      <c r="D15" s="32" t="s">
        <v>17</v>
      </c>
      <c r="E15" s="15" t="s">
        <v>68</v>
      </c>
      <c r="F15" s="15" t="s">
        <v>18</v>
      </c>
      <c r="G15" s="16">
        <v>1</v>
      </c>
      <c r="H15" s="15" t="s">
        <v>145</v>
      </c>
      <c r="I15" s="17">
        <v>45715</v>
      </c>
      <c r="J15" s="17">
        <v>45721</v>
      </c>
    </row>
    <row r="16" spans="1:10">
      <c r="A16" s="35"/>
      <c r="B16" s="18"/>
      <c r="C16" s="35"/>
      <c r="D16" s="35"/>
      <c r="E16" s="35"/>
      <c r="F16" s="35"/>
      <c r="G16" s="35"/>
      <c r="H16" s="35"/>
      <c r="I16" s="35"/>
      <c r="J16" s="35"/>
    </row>
    <row r="17" spans="1:10" ht="28">
      <c r="A17" s="36" t="s">
        <v>107</v>
      </c>
      <c r="B17" s="15" t="s">
        <v>35</v>
      </c>
      <c r="C17" s="36">
        <v>0</v>
      </c>
      <c r="D17" s="32" t="s">
        <v>17</v>
      </c>
      <c r="E17" s="36" t="s">
        <v>108</v>
      </c>
      <c r="F17" s="36" t="s">
        <v>18</v>
      </c>
      <c r="G17" s="16">
        <v>1</v>
      </c>
      <c r="H17" s="15" t="s">
        <v>99</v>
      </c>
      <c r="I17" s="37">
        <v>45714</v>
      </c>
      <c r="J17" s="37">
        <v>45714</v>
      </c>
    </row>
    <row r="18" spans="1:10" ht="28">
      <c r="A18" s="36" t="s">
        <v>107</v>
      </c>
      <c r="B18" s="15" t="s">
        <v>35</v>
      </c>
      <c r="C18" s="36">
        <v>0</v>
      </c>
      <c r="D18" s="32" t="s">
        <v>17</v>
      </c>
      <c r="E18" s="36" t="s">
        <v>109</v>
      </c>
      <c r="F18" s="36" t="s">
        <v>18</v>
      </c>
      <c r="G18" s="16">
        <v>1</v>
      </c>
      <c r="H18" s="15" t="s">
        <v>99</v>
      </c>
      <c r="I18" s="37">
        <v>45714</v>
      </c>
      <c r="J18" s="37">
        <v>45714</v>
      </c>
    </row>
    <row r="19" spans="1:10" ht="28">
      <c r="A19" s="36" t="s">
        <v>107</v>
      </c>
      <c r="B19" s="15" t="s">
        <v>35</v>
      </c>
      <c r="C19" s="36">
        <v>0</v>
      </c>
      <c r="D19" s="32" t="s">
        <v>17</v>
      </c>
      <c r="E19" s="36" t="s">
        <v>110</v>
      </c>
      <c r="F19" s="36" t="s">
        <v>18</v>
      </c>
      <c r="G19" s="16">
        <v>1</v>
      </c>
      <c r="H19" s="15" t="s">
        <v>99</v>
      </c>
      <c r="I19" s="37">
        <v>45714</v>
      </c>
      <c r="J19" s="37">
        <v>45714</v>
      </c>
    </row>
    <row r="20" spans="1:10" ht="28">
      <c r="A20" s="36" t="s">
        <v>107</v>
      </c>
      <c r="B20" s="15" t="s">
        <v>35</v>
      </c>
      <c r="C20" s="36">
        <v>0</v>
      </c>
      <c r="D20" s="32" t="s">
        <v>17</v>
      </c>
      <c r="E20" s="36" t="s">
        <v>111</v>
      </c>
      <c r="F20" s="36" t="s">
        <v>18</v>
      </c>
      <c r="G20" s="16">
        <v>1</v>
      </c>
      <c r="H20" s="15" t="s">
        <v>99</v>
      </c>
      <c r="I20" s="37">
        <v>45714</v>
      </c>
      <c r="J20" s="37">
        <v>45714</v>
      </c>
    </row>
    <row r="21" spans="1:10" ht="42">
      <c r="A21" s="36" t="s">
        <v>107</v>
      </c>
      <c r="B21" s="15" t="s">
        <v>35</v>
      </c>
      <c r="C21" s="36">
        <v>0</v>
      </c>
      <c r="D21" s="32" t="s">
        <v>17</v>
      </c>
      <c r="E21" s="36" t="s">
        <v>112</v>
      </c>
      <c r="F21" s="36" t="s">
        <v>18</v>
      </c>
      <c r="G21" s="16">
        <v>1</v>
      </c>
      <c r="H21" s="15" t="s">
        <v>99</v>
      </c>
      <c r="I21" s="37">
        <v>45714</v>
      </c>
      <c r="J21" s="37">
        <v>45714</v>
      </c>
    </row>
    <row r="22" spans="1:10" ht="32.25" customHeight="1">
      <c r="A22" s="36" t="s">
        <v>107</v>
      </c>
      <c r="B22" s="15" t="s">
        <v>35</v>
      </c>
      <c r="C22" s="36">
        <v>0</v>
      </c>
      <c r="D22" s="32" t="s">
        <v>17</v>
      </c>
      <c r="E22" s="36" t="s">
        <v>113</v>
      </c>
      <c r="F22" s="36" t="s">
        <v>18</v>
      </c>
      <c r="G22" s="16">
        <v>1</v>
      </c>
      <c r="H22" s="15" t="s">
        <v>10</v>
      </c>
      <c r="I22" s="37">
        <v>45719</v>
      </c>
      <c r="J22" s="17">
        <v>45721</v>
      </c>
    </row>
    <row r="23" spans="1:10">
      <c r="A23" s="38"/>
      <c r="B23" s="18"/>
      <c r="C23" s="38"/>
      <c r="D23" s="38"/>
      <c r="E23" s="38"/>
      <c r="F23" s="38"/>
      <c r="G23" s="38"/>
      <c r="H23" s="38"/>
      <c r="I23" s="38"/>
      <c r="J23" s="38"/>
    </row>
    <row r="24" spans="1:10" ht="28">
      <c r="A24" s="50" t="s">
        <v>124</v>
      </c>
      <c r="B24" s="15" t="s">
        <v>35</v>
      </c>
      <c r="C24" s="50">
        <v>0</v>
      </c>
      <c r="D24" s="32" t="s">
        <v>17</v>
      </c>
      <c r="E24" s="15" t="s">
        <v>108</v>
      </c>
      <c r="F24" s="36" t="s">
        <v>18</v>
      </c>
      <c r="G24" s="16">
        <v>1</v>
      </c>
      <c r="H24" s="50" t="s">
        <v>8</v>
      </c>
      <c r="I24" s="17">
        <v>45721</v>
      </c>
      <c r="J24" s="17">
        <v>45722</v>
      </c>
    </row>
    <row r="25" spans="1:10" ht="28">
      <c r="A25" s="50" t="s">
        <v>124</v>
      </c>
      <c r="B25" s="15" t="s">
        <v>35</v>
      </c>
      <c r="C25" s="50">
        <v>0</v>
      </c>
      <c r="D25" s="32" t="s">
        <v>17</v>
      </c>
      <c r="E25" s="15" t="s">
        <v>109</v>
      </c>
      <c r="F25" s="36" t="s">
        <v>18</v>
      </c>
      <c r="G25" s="16">
        <v>1</v>
      </c>
      <c r="H25" s="50" t="s">
        <v>8</v>
      </c>
      <c r="I25" s="17">
        <v>45721</v>
      </c>
      <c r="J25" s="17">
        <v>45722</v>
      </c>
    </row>
    <row r="26" spans="1:10" ht="28">
      <c r="A26" s="50" t="s">
        <v>124</v>
      </c>
      <c r="B26" s="15" t="s">
        <v>35</v>
      </c>
      <c r="C26" s="50">
        <v>0</v>
      </c>
      <c r="D26" s="32" t="s">
        <v>17</v>
      </c>
      <c r="E26" s="15" t="s">
        <v>110</v>
      </c>
      <c r="F26" s="36" t="s">
        <v>18</v>
      </c>
      <c r="G26" s="16">
        <v>1</v>
      </c>
      <c r="H26" s="50" t="s">
        <v>8</v>
      </c>
      <c r="I26" s="17">
        <v>45721</v>
      </c>
      <c r="J26" s="17">
        <v>45722</v>
      </c>
    </row>
    <row r="27" spans="1:10" ht="28">
      <c r="A27" s="50" t="s">
        <v>124</v>
      </c>
      <c r="B27" s="15" t="s">
        <v>35</v>
      </c>
      <c r="C27" s="50">
        <v>0</v>
      </c>
      <c r="D27" s="32" t="s">
        <v>17</v>
      </c>
      <c r="E27" s="15" t="s">
        <v>125</v>
      </c>
      <c r="F27" s="36" t="s">
        <v>18</v>
      </c>
      <c r="G27" s="16">
        <v>1</v>
      </c>
      <c r="H27" s="50" t="s">
        <v>8</v>
      </c>
      <c r="I27" s="17">
        <v>45721</v>
      </c>
      <c r="J27" s="17">
        <v>45722</v>
      </c>
    </row>
    <row r="28" spans="1:10" ht="28">
      <c r="A28" s="50" t="s">
        <v>124</v>
      </c>
      <c r="B28" s="15" t="s">
        <v>35</v>
      </c>
      <c r="C28" s="50">
        <v>0</v>
      </c>
      <c r="D28" s="32" t="s">
        <v>17</v>
      </c>
      <c r="E28" s="15" t="s">
        <v>126</v>
      </c>
      <c r="F28" s="36" t="s">
        <v>18</v>
      </c>
      <c r="G28" s="16">
        <v>1</v>
      </c>
      <c r="H28" s="50" t="s">
        <v>8</v>
      </c>
      <c r="I28" s="17">
        <v>45721</v>
      </c>
      <c r="J28" s="17">
        <v>45722</v>
      </c>
    </row>
    <row r="29" spans="1:10" ht="28">
      <c r="A29" s="50" t="s">
        <v>124</v>
      </c>
      <c r="B29" s="15" t="s">
        <v>35</v>
      </c>
      <c r="C29" s="50">
        <v>0</v>
      </c>
      <c r="D29" s="32" t="s">
        <v>17</v>
      </c>
      <c r="E29" s="15" t="s">
        <v>127</v>
      </c>
      <c r="F29" s="36" t="s">
        <v>18</v>
      </c>
      <c r="G29" s="16">
        <v>1</v>
      </c>
      <c r="H29" s="50" t="s">
        <v>8</v>
      </c>
      <c r="I29" s="17">
        <v>45721</v>
      </c>
      <c r="J29" s="17">
        <v>45722</v>
      </c>
    </row>
    <row r="30" spans="1:10" ht="28">
      <c r="A30" s="50" t="s">
        <v>124</v>
      </c>
      <c r="B30" s="15" t="s">
        <v>35</v>
      </c>
      <c r="C30" s="50">
        <v>0</v>
      </c>
      <c r="D30" s="32" t="s">
        <v>17</v>
      </c>
      <c r="E30" s="15" t="s">
        <v>128</v>
      </c>
      <c r="F30" s="36" t="s">
        <v>18</v>
      </c>
      <c r="G30" s="16">
        <v>1</v>
      </c>
      <c r="H30" s="50" t="s">
        <v>8</v>
      </c>
      <c r="I30" s="17">
        <v>45721</v>
      </c>
      <c r="J30" s="17">
        <v>45722</v>
      </c>
    </row>
    <row r="31" spans="1:10" ht="42">
      <c r="A31" s="50" t="s">
        <v>124</v>
      </c>
      <c r="B31" s="15" t="s">
        <v>35</v>
      </c>
      <c r="C31" s="50">
        <v>0</v>
      </c>
      <c r="D31" s="32" t="s">
        <v>17</v>
      </c>
      <c r="E31" s="15" t="s">
        <v>129</v>
      </c>
      <c r="F31" s="36" t="s">
        <v>18</v>
      </c>
      <c r="G31" s="16">
        <v>1</v>
      </c>
      <c r="H31" s="50" t="s">
        <v>8</v>
      </c>
      <c r="I31" s="17">
        <v>45721</v>
      </c>
      <c r="J31" s="17">
        <v>45722</v>
      </c>
    </row>
    <row r="32" spans="1:10" ht="28">
      <c r="A32" s="50" t="s">
        <v>124</v>
      </c>
      <c r="B32" s="15" t="s">
        <v>35</v>
      </c>
      <c r="C32" s="50">
        <v>0</v>
      </c>
      <c r="D32" s="32" t="s">
        <v>17</v>
      </c>
      <c r="E32" s="15" t="s">
        <v>130</v>
      </c>
      <c r="F32" s="36" t="s">
        <v>18</v>
      </c>
      <c r="G32" s="16">
        <v>1</v>
      </c>
      <c r="H32" s="50" t="s">
        <v>8</v>
      </c>
      <c r="I32" s="17">
        <v>45721</v>
      </c>
      <c r="J32" s="17">
        <v>45722</v>
      </c>
    </row>
    <row r="33" spans="1:10" ht="42">
      <c r="A33" s="50" t="s">
        <v>124</v>
      </c>
      <c r="B33" s="15" t="s">
        <v>35</v>
      </c>
      <c r="C33" s="50">
        <v>0</v>
      </c>
      <c r="D33" s="32" t="s">
        <v>17</v>
      </c>
      <c r="E33" s="15" t="s">
        <v>131</v>
      </c>
      <c r="F33" s="36" t="s">
        <v>18</v>
      </c>
      <c r="G33" s="16">
        <v>1</v>
      </c>
      <c r="H33" s="50" t="s">
        <v>8</v>
      </c>
      <c r="I33" s="17">
        <v>45721</v>
      </c>
      <c r="J33" s="17">
        <v>45722</v>
      </c>
    </row>
    <row r="34" spans="1:10" ht="28">
      <c r="A34" s="50" t="s">
        <v>124</v>
      </c>
      <c r="B34" s="15" t="s">
        <v>35</v>
      </c>
      <c r="C34" s="50">
        <v>0</v>
      </c>
      <c r="D34" s="32" t="s">
        <v>17</v>
      </c>
      <c r="E34" s="15" t="s">
        <v>132</v>
      </c>
      <c r="F34" s="36" t="s">
        <v>18</v>
      </c>
      <c r="G34" s="16">
        <v>1</v>
      </c>
      <c r="H34" s="50" t="s">
        <v>8</v>
      </c>
      <c r="I34" s="17">
        <v>45721</v>
      </c>
      <c r="J34" s="17">
        <v>45722</v>
      </c>
    </row>
    <row r="35" spans="1:10" ht="28">
      <c r="A35" s="50" t="s">
        <v>124</v>
      </c>
      <c r="B35" s="15" t="s">
        <v>35</v>
      </c>
      <c r="C35" s="50">
        <v>0</v>
      </c>
      <c r="D35" s="32" t="s">
        <v>17</v>
      </c>
      <c r="E35" s="15" t="s">
        <v>133</v>
      </c>
      <c r="F35" s="36" t="s">
        <v>18</v>
      </c>
      <c r="G35" s="16">
        <v>1</v>
      </c>
      <c r="H35" s="50" t="s">
        <v>8</v>
      </c>
      <c r="I35" s="17">
        <v>45721</v>
      </c>
      <c r="J35" s="17">
        <v>45722</v>
      </c>
    </row>
    <row r="37" spans="1:10" ht="28">
      <c r="A37" s="36" t="s">
        <v>137</v>
      </c>
      <c r="B37" s="15" t="s">
        <v>35</v>
      </c>
      <c r="C37" s="36">
        <v>0</v>
      </c>
      <c r="D37" s="36" t="s">
        <v>17</v>
      </c>
      <c r="E37" s="15" t="s">
        <v>108</v>
      </c>
      <c r="F37" s="36" t="s">
        <v>18</v>
      </c>
      <c r="G37" s="16">
        <v>1</v>
      </c>
      <c r="H37" s="50" t="s">
        <v>147</v>
      </c>
      <c r="I37" s="17">
        <v>45723</v>
      </c>
      <c r="J37" s="17">
        <v>45723</v>
      </c>
    </row>
    <row r="38" spans="1:10" ht="28">
      <c r="A38" s="36" t="s">
        <v>137</v>
      </c>
      <c r="B38" s="15" t="s">
        <v>35</v>
      </c>
      <c r="C38" s="36">
        <v>0</v>
      </c>
      <c r="D38" s="36" t="s">
        <v>17</v>
      </c>
      <c r="E38" s="15" t="s">
        <v>109</v>
      </c>
      <c r="F38" s="36" t="s">
        <v>18</v>
      </c>
      <c r="G38" s="16">
        <v>1</v>
      </c>
      <c r="H38" s="50" t="s">
        <v>147</v>
      </c>
      <c r="I38" s="17">
        <v>45723</v>
      </c>
      <c r="J38" s="17">
        <v>45723</v>
      </c>
    </row>
    <row r="39" spans="1:10" ht="28">
      <c r="A39" s="36" t="s">
        <v>137</v>
      </c>
      <c r="B39" s="15" t="s">
        <v>35</v>
      </c>
      <c r="C39" s="36">
        <v>0</v>
      </c>
      <c r="D39" s="36" t="s">
        <v>17</v>
      </c>
      <c r="E39" s="15" t="s">
        <v>110</v>
      </c>
      <c r="F39" s="36" t="s">
        <v>18</v>
      </c>
      <c r="G39" s="16">
        <v>1</v>
      </c>
      <c r="H39" s="50" t="s">
        <v>147</v>
      </c>
      <c r="I39" s="17">
        <v>45723</v>
      </c>
      <c r="J39" s="17">
        <v>45723</v>
      </c>
    </row>
    <row r="40" spans="1:10" ht="28">
      <c r="A40" s="36" t="s">
        <v>137</v>
      </c>
      <c r="B40" s="15" t="s">
        <v>35</v>
      </c>
      <c r="C40" s="36">
        <v>0</v>
      </c>
      <c r="D40" s="36" t="s">
        <v>17</v>
      </c>
      <c r="E40" s="36" t="s">
        <v>138</v>
      </c>
      <c r="F40" s="36" t="s">
        <v>18</v>
      </c>
      <c r="G40" s="16">
        <v>1</v>
      </c>
      <c r="H40" s="50" t="s">
        <v>147</v>
      </c>
      <c r="I40" s="17">
        <v>45723</v>
      </c>
      <c r="J40" s="17">
        <v>45723</v>
      </c>
    </row>
    <row r="41" spans="1:10" ht="28">
      <c r="A41" s="36" t="s">
        <v>137</v>
      </c>
      <c r="B41" s="15" t="s">
        <v>35</v>
      </c>
      <c r="C41" s="36">
        <v>0</v>
      </c>
      <c r="D41" s="36" t="s">
        <v>17</v>
      </c>
      <c r="E41" s="36" t="s">
        <v>139</v>
      </c>
      <c r="F41" s="36" t="s">
        <v>18</v>
      </c>
      <c r="G41" s="52">
        <v>1</v>
      </c>
      <c r="H41" s="36" t="s">
        <v>10</v>
      </c>
      <c r="I41" s="17">
        <v>45726</v>
      </c>
      <c r="J41" s="17">
        <v>45728</v>
      </c>
    </row>
    <row r="42" spans="1:10" ht="28">
      <c r="A42" s="36" t="s">
        <v>137</v>
      </c>
      <c r="B42" s="15" t="s">
        <v>35</v>
      </c>
      <c r="C42" s="36">
        <v>0</v>
      </c>
      <c r="D42" s="36" t="s">
        <v>17</v>
      </c>
      <c r="E42" s="36" t="s">
        <v>140</v>
      </c>
      <c r="F42" s="36" t="s">
        <v>18</v>
      </c>
      <c r="G42" s="52">
        <v>1</v>
      </c>
      <c r="H42" s="36" t="s">
        <v>10</v>
      </c>
      <c r="I42" s="17">
        <v>45726</v>
      </c>
      <c r="J42" s="17">
        <v>45728</v>
      </c>
    </row>
    <row r="43" spans="1:10" ht="28">
      <c r="A43" s="36" t="s">
        <v>137</v>
      </c>
      <c r="B43" s="15" t="s">
        <v>35</v>
      </c>
      <c r="C43" s="36">
        <v>0</v>
      </c>
      <c r="D43" s="36" t="s">
        <v>17</v>
      </c>
      <c r="E43" s="36" t="s">
        <v>141</v>
      </c>
      <c r="F43" s="36" t="s">
        <v>18</v>
      </c>
      <c r="G43" s="52">
        <v>1</v>
      </c>
      <c r="H43" s="36" t="s">
        <v>10</v>
      </c>
      <c r="I43" s="17">
        <v>45726</v>
      </c>
      <c r="J43" s="17">
        <v>45728</v>
      </c>
    </row>
    <row r="44" spans="1:10" ht="28">
      <c r="A44" s="36" t="s">
        <v>137</v>
      </c>
      <c r="B44" s="15" t="s">
        <v>35</v>
      </c>
      <c r="C44" s="36">
        <v>0</v>
      </c>
      <c r="D44" s="36" t="s">
        <v>17</v>
      </c>
      <c r="E44" s="36" t="s">
        <v>142</v>
      </c>
      <c r="F44" s="36" t="s">
        <v>18</v>
      </c>
      <c r="G44" s="52">
        <v>1</v>
      </c>
      <c r="H44" s="36" t="s">
        <v>8</v>
      </c>
      <c r="I44" s="17">
        <v>45729</v>
      </c>
      <c r="J44" s="17">
        <v>45730</v>
      </c>
    </row>
    <row r="45" spans="1:10" ht="28">
      <c r="A45" s="36" t="s">
        <v>137</v>
      </c>
      <c r="B45" s="15" t="s">
        <v>35</v>
      </c>
      <c r="C45" s="36">
        <v>0</v>
      </c>
      <c r="D45" s="36" t="s">
        <v>17</v>
      </c>
      <c r="E45" s="36" t="s">
        <v>143</v>
      </c>
      <c r="F45" s="36" t="s">
        <v>18</v>
      </c>
      <c r="G45" s="52">
        <v>1</v>
      </c>
      <c r="H45" s="36" t="s">
        <v>8</v>
      </c>
      <c r="I45" s="17">
        <v>45729</v>
      </c>
      <c r="J45" s="17">
        <v>45730</v>
      </c>
    </row>
    <row r="47" spans="1:10" ht="28">
      <c r="A47" s="50" t="s">
        <v>150</v>
      </c>
      <c r="B47" s="50" t="s">
        <v>35</v>
      </c>
      <c r="C47" s="36">
        <v>0</v>
      </c>
      <c r="D47" s="36" t="s">
        <v>17</v>
      </c>
      <c r="E47" s="50" t="s">
        <v>151</v>
      </c>
      <c r="F47" s="50" t="s">
        <v>18</v>
      </c>
      <c r="G47" s="52">
        <v>1</v>
      </c>
      <c r="H47" s="50" t="s">
        <v>158</v>
      </c>
      <c r="I47" s="55">
        <v>45734</v>
      </c>
      <c r="J47" s="55">
        <v>45734</v>
      </c>
    </row>
    <row r="48" spans="1:10" ht="42">
      <c r="A48" s="56" t="s">
        <v>150</v>
      </c>
      <c r="B48" s="56" t="s">
        <v>35</v>
      </c>
      <c r="C48" s="36">
        <v>0</v>
      </c>
      <c r="D48" s="36" t="s">
        <v>17</v>
      </c>
      <c r="E48" s="36" t="s">
        <v>152</v>
      </c>
      <c r="F48" s="50" t="s">
        <v>18</v>
      </c>
      <c r="G48" s="52">
        <v>1</v>
      </c>
      <c r="H48" s="50" t="s">
        <v>167</v>
      </c>
      <c r="I48" s="57">
        <v>45734</v>
      </c>
      <c r="J48" s="57">
        <v>45736</v>
      </c>
    </row>
    <row r="49" spans="1:10" ht="57" customHeight="1">
      <c r="A49" s="56" t="s">
        <v>150</v>
      </c>
      <c r="B49" s="56" t="s">
        <v>35</v>
      </c>
      <c r="C49" s="36">
        <v>0</v>
      </c>
      <c r="D49" s="36" t="s">
        <v>17</v>
      </c>
      <c r="E49" s="36" t="s">
        <v>153</v>
      </c>
      <c r="F49" s="36" t="s">
        <v>169</v>
      </c>
      <c r="G49" s="52">
        <v>1</v>
      </c>
      <c r="H49" s="36" t="s">
        <v>157</v>
      </c>
      <c r="I49" s="57">
        <v>45736</v>
      </c>
      <c r="J49" s="57">
        <v>45737</v>
      </c>
    </row>
    <row r="50" spans="1:10" ht="57.75" customHeight="1">
      <c r="A50" s="56" t="s">
        <v>150</v>
      </c>
      <c r="B50" s="56" t="s">
        <v>35</v>
      </c>
      <c r="C50" s="36">
        <v>0</v>
      </c>
      <c r="D50" s="36" t="s">
        <v>17</v>
      </c>
      <c r="E50" s="36" t="s">
        <v>154</v>
      </c>
      <c r="F50" s="36" t="s">
        <v>169</v>
      </c>
      <c r="G50" s="52">
        <v>1</v>
      </c>
      <c r="H50" s="36" t="s">
        <v>157</v>
      </c>
      <c r="I50" s="57">
        <v>45736</v>
      </c>
      <c r="J50" s="57">
        <v>45737</v>
      </c>
    </row>
    <row r="51" spans="1:10" ht="38.25" customHeight="1">
      <c r="A51" s="56" t="s">
        <v>150</v>
      </c>
      <c r="B51" s="56" t="s">
        <v>35</v>
      </c>
      <c r="C51" s="36">
        <v>0</v>
      </c>
      <c r="D51" s="36" t="s">
        <v>17</v>
      </c>
      <c r="E51" s="36" t="s">
        <v>155</v>
      </c>
      <c r="F51" s="36" t="s">
        <v>18</v>
      </c>
      <c r="G51" s="52">
        <v>1</v>
      </c>
      <c r="H51" s="36" t="s">
        <v>4</v>
      </c>
      <c r="I51" s="57">
        <v>45740</v>
      </c>
      <c r="J51" s="57">
        <v>45741</v>
      </c>
    </row>
    <row r="53" spans="1:10" ht="54" customHeight="1">
      <c r="A53" s="36" t="s">
        <v>159</v>
      </c>
      <c r="B53" s="36" t="s">
        <v>35</v>
      </c>
      <c r="C53" s="36">
        <v>0</v>
      </c>
      <c r="D53" s="36" t="s">
        <v>17</v>
      </c>
      <c r="E53" s="36" t="s">
        <v>160</v>
      </c>
      <c r="F53" s="36" t="s">
        <v>18</v>
      </c>
      <c r="G53" s="67">
        <v>1</v>
      </c>
      <c r="H53" s="36" t="s">
        <v>4</v>
      </c>
      <c r="I53" s="57">
        <v>45740</v>
      </c>
      <c r="J53" s="57">
        <v>45740</v>
      </c>
    </row>
    <row r="54" spans="1:10" ht="54" customHeight="1">
      <c r="A54" s="36" t="s">
        <v>159</v>
      </c>
      <c r="B54" s="36" t="s">
        <v>35</v>
      </c>
      <c r="C54" s="36">
        <v>1</v>
      </c>
      <c r="D54" s="36" t="s">
        <v>105</v>
      </c>
      <c r="E54" s="36" t="s">
        <v>161</v>
      </c>
      <c r="F54" s="36" t="s">
        <v>18</v>
      </c>
      <c r="G54" s="67">
        <v>1</v>
      </c>
      <c r="H54" s="36" t="s">
        <v>201</v>
      </c>
      <c r="I54" s="57">
        <v>45740</v>
      </c>
      <c r="J54" s="57">
        <v>45747</v>
      </c>
    </row>
    <row r="55" spans="1:10" ht="39.75" customHeight="1">
      <c r="A55" s="36" t="s">
        <v>159</v>
      </c>
      <c r="B55" s="36" t="s">
        <v>35</v>
      </c>
      <c r="C55" s="36">
        <v>1</v>
      </c>
      <c r="D55" s="36" t="s">
        <v>105</v>
      </c>
      <c r="E55" s="36" t="s">
        <v>162</v>
      </c>
      <c r="F55" s="36" t="s">
        <v>18</v>
      </c>
      <c r="G55" s="67">
        <v>1</v>
      </c>
      <c r="H55" s="36" t="s">
        <v>201</v>
      </c>
      <c r="I55" s="57">
        <v>45740</v>
      </c>
      <c r="J55" s="57">
        <v>45747</v>
      </c>
    </row>
    <row r="56" spans="1:10" ht="39.75" customHeight="1">
      <c r="A56" s="36" t="s">
        <v>159</v>
      </c>
      <c r="B56" s="36" t="s">
        <v>35</v>
      </c>
      <c r="C56" s="36">
        <v>1</v>
      </c>
      <c r="D56" s="36" t="s">
        <v>105</v>
      </c>
      <c r="E56" s="36" t="s">
        <v>163</v>
      </c>
      <c r="F56" s="36" t="s">
        <v>18</v>
      </c>
      <c r="G56" s="67">
        <v>1</v>
      </c>
      <c r="H56" s="36" t="s">
        <v>201</v>
      </c>
      <c r="I56" s="57">
        <v>45740</v>
      </c>
      <c r="J56" s="57">
        <v>45747</v>
      </c>
    </row>
    <row r="57" spans="1:10" ht="39.75" customHeight="1">
      <c r="A57" s="36" t="s">
        <v>159</v>
      </c>
      <c r="B57" s="36" t="s">
        <v>35</v>
      </c>
      <c r="C57" s="36">
        <v>1</v>
      </c>
      <c r="D57" s="36" t="s">
        <v>105</v>
      </c>
      <c r="E57" s="36" t="s">
        <v>164</v>
      </c>
      <c r="F57" s="36" t="s">
        <v>18</v>
      </c>
      <c r="G57" s="66">
        <v>1</v>
      </c>
      <c r="H57" s="36" t="s">
        <v>201</v>
      </c>
      <c r="I57" s="57">
        <v>45740</v>
      </c>
      <c r="J57" s="57">
        <v>45747</v>
      </c>
    </row>
    <row r="58" spans="1:10" ht="39.75" customHeight="1">
      <c r="A58" s="36" t="s">
        <v>159</v>
      </c>
      <c r="B58" s="36" t="s">
        <v>35</v>
      </c>
      <c r="C58" s="36">
        <v>0</v>
      </c>
      <c r="D58" s="36" t="s">
        <v>17</v>
      </c>
      <c r="E58" s="36" t="s">
        <v>165</v>
      </c>
      <c r="F58" s="36" t="s">
        <v>18</v>
      </c>
      <c r="G58" s="66">
        <v>1</v>
      </c>
      <c r="H58" s="36" t="s">
        <v>4</v>
      </c>
      <c r="I58" s="57">
        <v>45740</v>
      </c>
      <c r="J58" s="57">
        <v>45740</v>
      </c>
    </row>
    <row r="59" spans="1:10" ht="39.75" customHeight="1">
      <c r="A59" s="36" t="s">
        <v>159</v>
      </c>
      <c r="B59" s="36" t="s">
        <v>35</v>
      </c>
      <c r="C59" s="36">
        <v>0</v>
      </c>
      <c r="D59" s="36" t="s">
        <v>17</v>
      </c>
      <c r="E59" s="36" t="s">
        <v>166</v>
      </c>
      <c r="F59" s="36" t="s">
        <v>18</v>
      </c>
      <c r="G59" s="66">
        <v>1</v>
      </c>
      <c r="H59" s="36" t="s">
        <v>202</v>
      </c>
      <c r="I59" s="57">
        <v>45740</v>
      </c>
      <c r="J59" s="57">
        <v>45744</v>
      </c>
    </row>
    <row r="60" spans="1:10" s="65" customFormat="1" ht="14">
      <c r="A60" s="64"/>
      <c r="E60" s="64"/>
    </row>
    <row r="61" spans="1:10" ht="28">
      <c r="A61" s="53" t="s">
        <v>172</v>
      </c>
      <c r="B61" s="53" t="s">
        <v>35</v>
      </c>
      <c r="C61" s="53">
        <v>1</v>
      </c>
      <c r="D61" s="82" t="s">
        <v>53</v>
      </c>
      <c r="E61" s="53" t="s">
        <v>173</v>
      </c>
      <c r="F61" s="75" t="s">
        <v>206</v>
      </c>
      <c r="G61" s="76">
        <v>0.99</v>
      </c>
      <c r="H61" s="75" t="s">
        <v>203</v>
      </c>
      <c r="I61" s="77">
        <v>45748</v>
      </c>
      <c r="J61" s="75" t="s">
        <v>204</v>
      </c>
    </row>
    <row r="62" spans="1:10" ht="42">
      <c r="A62" s="36" t="s">
        <v>172</v>
      </c>
      <c r="B62" s="36" t="s">
        <v>35</v>
      </c>
      <c r="C62" s="36">
        <v>0</v>
      </c>
      <c r="D62" s="36" t="s">
        <v>17</v>
      </c>
      <c r="E62" s="36" t="s">
        <v>174</v>
      </c>
      <c r="F62" s="36" t="s">
        <v>18</v>
      </c>
      <c r="G62" s="74">
        <v>1</v>
      </c>
      <c r="H62" s="36" t="s">
        <v>99</v>
      </c>
      <c r="I62" s="37">
        <v>45744</v>
      </c>
      <c r="J62" s="37">
        <v>45744</v>
      </c>
    </row>
    <row r="63" spans="1:10" ht="28">
      <c r="A63" s="36" t="s">
        <v>172</v>
      </c>
      <c r="B63" s="36" t="s">
        <v>35</v>
      </c>
      <c r="C63" s="36">
        <v>0</v>
      </c>
      <c r="D63" s="36" t="s">
        <v>17</v>
      </c>
      <c r="E63" s="36" t="s">
        <v>175</v>
      </c>
      <c r="F63" s="36" t="s">
        <v>18</v>
      </c>
      <c r="G63" s="74">
        <v>1</v>
      </c>
      <c r="H63" s="36" t="s">
        <v>8</v>
      </c>
      <c r="I63" s="37">
        <v>45744</v>
      </c>
      <c r="J63" s="37">
        <v>45747</v>
      </c>
    </row>
    <row r="64" spans="1:10" ht="28">
      <c r="A64" s="36" t="s">
        <v>172</v>
      </c>
      <c r="B64" s="36" t="s">
        <v>35</v>
      </c>
      <c r="C64" s="36">
        <v>0</v>
      </c>
      <c r="D64" s="36" t="s">
        <v>17</v>
      </c>
      <c r="E64" s="36" t="s">
        <v>176</v>
      </c>
      <c r="F64" s="36" t="s">
        <v>18</v>
      </c>
      <c r="G64" s="74">
        <v>1</v>
      </c>
      <c r="H64" s="36" t="s">
        <v>8</v>
      </c>
      <c r="I64" s="37">
        <v>45744</v>
      </c>
      <c r="J64" s="37">
        <v>45747</v>
      </c>
    </row>
    <row r="65" spans="1:10">
      <c r="A65" s="71"/>
      <c r="B65" s="71"/>
      <c r="C65" s="71"/>
      <c r="D65" s="71"/>
      <c r="E65" s="71"/>
      <c r="F65" s="69"/>
      <c r="G65" s="68"/>
      <c r="H65" s="71"/>
      <c r="I65" s="70"/>
      <c r="J65" s="70"/>
    </row>
    <row r="66" spans="1:10" ht="28">
      <c r="A66" s="56" t="s">
        <v>207</v>
      </c>
      <c r="B66" s="56" t="s">
        <v>208</v>
      </c>
      <c r="C66" s="36">
        <v>0</v>
      </c>
      <c r="D66" s="36" t="s">
        <v>17</v>
      </c>
      <c r="E66" s="56" t="s">
        <v>209</v>
      </c>
      <c r="F66" s="56" t="s">
        <v>219</v>
      </c>
      <c r="G66" s="93">
        <v>1</v>
      </c>
      <c r="H66" s="56"/>
      <c r="I66" s="56" t="s">
        <v>210</v>
      </c>
      <c r="J66" s="56" t="s">
        <v>225</v>
      </c>
    </row>
    <row r="67" spans="1:10" ht="28">
      <c r="A67" s="56" t="s">
        <v>207</v>
      </c>
      <c r="B67" s="56" t="s">
        <v>208</v>
      </c>
      <c r="C67" s="36">
        <v>0</v>
      </c>
      <c r="D67" s="36" t="s">
        <v>17</v>
      </c>
      <c r="E67" s="36" t="s">
        <v>212</v>
      </c>
      <c r="F67" s="36"/>
      <c r="G67" s="74">
        <v>1</v>
      </c>
      <c r="H67" s="36"/>
      <c r="I67" s="36" t="s">
        <v>210</v>
      </c>
      <c r="J67" s="36" t="s">
        <v>225</v>
      </c>
    </row>
    <row r="68" spans="1:10" ht="42">
      <c r="A68" s="56" t="s">
        <v>207</v>
      </c>
      <c r="B68" s="56" t="s">
        <v>208</v>
      </c>
      <c r="C68" s="36">
        <v>0</v>
      </c>
      <c r="D68" s="36" t="s">
        <v>17</v>
      </c>
      <c r="E68" s="36" t="s">
        <v>214</v>
      </c>
      <c r="F68" s="36"/>
      <c r="G68" s="74">
        <v>1</v>
      </c>
      <c r="H68" s="36"/>
      <c r="I68" s="36" t="s">
        <v>211</v>
      </c>
      <c r="J68" s="36" t="s">
        <v>225</v>
      </c>
    </row>
    <row r="69" spans="1:10" ht="56">
      <c r="A69" s="56" t="s">
        <v>207</v>
      </c>
      <c r="B69" s="56" t="s">
        <v>208</v>
      </c>
      <c r="C69" s="36">
        <v>0</v>
      </c>
      <c r="D69" s="36" t="s">
        <v>17</v>
      </c>
      <c r="E69" s="36" t="s">
        <v>215</v>
      </c>
      <c r="F69" s="36" t="s">
        <v>226</v>
      </c>
      <c r="G69" s="74">
        <v>1</v>
      </c>
      <c r="H69" s="36"/>
      <c r="I69" s="36" t="s">
        <v>211</v>
      </c>
      <c r="J69" s="37">
        <v>45782</v>
      </c>
    </row>
    <row r="70" spans="1:10" ht="28">
      <c r="A70" s="56" t="s">
        <v>207</v>
      </c>
      <c r="B70" s="56" t="s">
        <v>208</v>
      </c>
      <c r="C70" s="36">
        <v>0</v>
      </c>
      <c r="D70" s="36" t="s">
        <v>17</v>
      </c>
      <c r="E70" s="36" t="s">
        <v>216</v>
      </c>
      <c r="F70" s="36"/>
      <c r="G70" s="74">
        <v>1</v>
      </c>
      <c r="H70" s="36"/>
      <c r="I70" s="36" t="s">
        <v>227</v>
      </c>
      <c r="J70" s="37">
        <v>45783</v>
      </c>
    </row>
    <row r="71" spans="1:10" ht="70">
      <c r="A71" s="56" t="s">
        <v>207</v>
      </c>
      <c r="B71" s="56" t="s">
        <v>208</v>
      </c>
      <c r="C71" s="36">
        <v>0</v>
      </c>
      <c r="D71" s="36" t="s">
        <v>17</v>
      </c>
      <c r="E71" s="36" t="s">
        <v>228</v>
      </c>
      <c r="F71" s="36" t="s">
        <v>229</v>
      </c>
      <c r="G71" s="74">
        <v>1</v>
      </c>
      <c r="H71" s="36"/>
      <c r="I71" s="37">
        <v>45782</v>
      </c>
      <c r="J71" s="37">
        <v>45784</v>
      </c>
    </row>
    <row r="72" spans="1:10" ht="28">
      <c r="A72" s="56" t="s">
        <v>207</v>
      </c>
      <c r="B72" s="56" t="s">
        <v>208</v>
      </c>
      <c r="C72" s="36">
        <v>0</v>
      </c>
      <c r="D72" s="36" t="s">
        <v>17</v>
      </c>
      <c r="E72" s="36" t="s">
        <v>217</v>
      </c>
      <c r="F72" s="36" t="s">
        <v>230</v>
      </c>
      <c r="G72" s="74">
        <v>1</v>
      </c>
      <c r="H72" s="36"/>
      <c r="I72" s="36" t="s">
        <v>213</v>
      </c>
      <c r="J72" s="37">
        <v>45786</v>
      </c>
    </row>
    <row r="73" spans="1:10" ht="56">
      <c r="A73" s="56" t="s">
        <v>207</v>
      </c>
      <c r="B73" s="56" t="s">
        <v>208</v>
      </c>
      <c r="C73" s="36">
        <v>0</v>
      </c>
      <c r="D73" s="36" t="s">
        <v>17</v>
      </c>
      <c r="E73" s="36" t="s">
        <v>220</v>
      </c>
      <c r="F73" s="36" t="s">
        <v>231</v>
      </c>
      <c r="G73" s="74">
        <v>1</v>
      </c>
      <c r="H73" s="36"/>
      <c r="I73" s="36" t="s">
        <v>213</v>
      </c>
      <c r="J73" s="37">
        <v>45786</v>
      </c>
    </row>
    <row r="75" spans="1:10">
      <c r="A75" s="86" t="s">
        <v>237</v>
      </c>
      <c r="F75" s="87" t="s">
        <v>239</v>
      </c>
    </row>
    <row r="76" spans="1:10">
      <c r="A76" s="86" t="s">
        <v>238</v>
      </c>
      <c r="F76" s="87" t="s">
        <v>240</v>
      </c>
    </row>
    <row r="78" spans="1:10" ht="28">
      <c r="A78" s="99" t="s">
        <v>241</v>
      </c>
      <c r="B78" s="99" t="s">
        <v>35</v>
      </c>
      <c r="C78" s="99">
        <v>0</v>
      </c>
      <c r="D78" s="36" t="s">
        <v>17</v>
      </c>
      <c r="E78" s="99" t="s">
        <v>242</v>
      </c>
      <c r="F78" s="99"/>
      <c r="G78" s="100">
        <v>1</v>
      </c>
      <c r="H78" s="99"/>
      <c r="I78" s="101">
        <v>45790</v>
      </c>
      <c r="J78" s="101"/>
    </row>
    <row r="79" spans="1:10" ht="28">
      <c r="A79" s="49" t="s">
        <v>241</v>
      </c>
      <c r="B79" s="49" t="s">
        <v>35</v>
      </c>
      <c r="C79" s="49">
        <v>0</v>
      </c>
      <c r="D79" s="36" t="s">
        <v>17</v>
      </c>
      <c r="E79" s="49" t="s">
        <v>243</v>
      </c>
      <c r="F79" s="49"/>
      <c r="G79" s="102">
        <v>1</v>
      </c>
      <c r="H79" s="49"/>
      <c r="I79" s="103">
        <v>45790</v>
      </c>
      <c r="J79" s="49"/>
    </row>
    <row r="80" spans="1:10" ht="28">
      <c r="A80" s="49" t="s">
        <v>241</v>
      </c>
      <c r="B80" s="49" t="s">
        <v>35</v>
      </c>
      <c r="C80" s="49">
        <v>0</v>
      </c>
      <c r="D80" s="36" t="s">
        <v>17</v>
      </c>
      <c r="E80" s="49" t="s">
        <v>244</v>
      </c>
      <c r="F80" s="49"/>
      <c r="G80" s="102">
        <v>1</v>
      </c>
      <c r="H80" s="49"/>
      <c r="I80" s="103">
        <v>45790</v>
      </c>
      <c r="J80" s="49"/>
    </row>
    <row r="81" spans="1:10" ht="28">
      <c r="A81" s="49" t="s">
        <v>241</v>
      </c>
      <c r="B81" s="49" t="s">
        <v>35</v>
      </c>
      <c r="C81" s="49">
        <v>0</v>
      </c>
      <c r="D81" s="36" t="s">
        <v>17</v>
      </c>
      <c r="E81" s="49" t="s">
        <v>245</v>
      </c>
      <c r="F81" s="49"/>
      <c r="G81" s="102">
        <v>1</v>
      </c>
      <c r="H81" s="49"/>
      <c r="I81" s="103">
        <v>45790</v>
      </c>
      <c r="J81" s="49"/>
    </row>
    <row r="82" spans="1:10" ht="42">
      <c r="A82" s="49" t="s">
        <v>241</v>
      </c>
      <c r="B82" s="49" t="s">
        <v>35</v>
      </c>
      <c r="C82" s="49">
        <v>3</v>
      </c>
      <c r="D82" s="36" t="s">
        <v>17</v>
      </c>
      <c r="E82" s="49" t="s">
        <v>246</v>
      </c>
      <c r="F82" s="49" t="s">
        <v>251</v>
      </c>
      <c r="G82" s="102">
        <v>1</v>
      </c>
      <c r="H82" s="49"/>
      <c r="I82" s="103">
        <v>45796</v>
      </c>
      <c r="J82" s="103">
        <v>45817</v>
      </c>
    </row>
    <row r="83" spans="1:10" ht="42">
      <c r="A83" s="49" t="s">
        <v>241</v>
      </c>
      <c r="B83" s="49" t="s">
        <v>35</v>
      </c>
      <c r="C83" s="49">
        <v>3</v>
      </c>
      <c r="D83" s="36" t="s">
        <v>17</v>
      </c>
      <c r="E83" s="49" t="s">
        <v>247</v>
      </c>
      <c r="F83" s="49"/>
      <c r="G83" s="102">
        <v>1</v>
      </c>
      <c r="H83" s="49"/>
      <c r="I83" s="103">
        <v>45817</v>
      </c>
      <c r="J83" s="103">
        <v>45817</v>
      </c>
    </row>
    <row r="84" spans="1:10">
      <c r="A84" s="91"/>
      <c r="B84" s="92"/>
      <c r="C84" s="92"/>
      <c r="D84" s="92"/>
      <c r="E84" s="91"/>
      <c r="F84" s="92"/>
      <c r="G84" s="92"/>
      <c r="H84" s="92"/>
      <c r="I84" s="92"/>
      <c r="J84" s="92"/>
    </row>
    <row r="85" spans="1:10" ht="42">
      <c r="A85" s="119" t="s">
        <v>252</v>
      </c>
      <c r="B85" s="119" t="s">
        <v>35</v>
      </c>
      <c r="C85" s="119">
        <v>1</v>
      </c>
      <c r="D85" s="120" t="s">
        <v>54</v>
      </c>
      <c r="E85" s="121" t="s">
        <v>253</v>
      </c>
      <c r="F85" s="119" t="s">
        <v>351</v>
      </c>
      <c r="G85" s="89"/>
      <c r="H85" s="117"/>
      <c r="I85" s="90">
        <v>45796</v>
      </c>
      <c r="J85" s="90">
        <v>45798</v>
      </c>
    </row>
    <row r="86" spans="1:10" ht="28">
      <c r="A86" s="122" t="s">
        <v>252</v>
      </c>
      <c r="B86" s="122" t="s">
        <v>35</v>
      </c>
      <c r="C86" s="122">
        <v>1</v>
      </c>
      <c r="D86" s="122" t="s">
        <v>54</v>
      </c>
      <c r="E86" s="122" t="s">
        <v>254</v>
      </c>
      <c r="F86" s="118"/>
      <c r="G86" s="118"/>
      <c r="H86" s="118"/>
      <c r="I86" s="118"/>
      <c r="J86" s="118"/>
    </row>
    <row r="87" spans="1:10" ht="28">
      <c r="A87" s="122" t="s">
        <v>252</v>
      </c>
      <c r="B87" s="122" t="s">
        <v>35</v>
      </c>
      <c r="C87" s="122">
        <v>1</v>
      </c>
      <c r="D87" s="122" t="s">
        <v>54</v>
      </c>
      <c r="E87" s="122" t="s">
        <v>255</v>
      </c>
      <c r="F87" s="118"/>
      <c r="G87" s="118"/>
      <c r="H87" s="118"/>
      <c r="I87" s="118"/>
      <c r="J87" s="118"/>
    </row>
    <row r="88" spans="1:10" ht="28">
      <c r="A88" s="122" t="s">
        <v>252</v>
      </c>
      <c r="B88" s="122" t="s">
        <v>35</v>
      </c>
      <c r="C88" s="122">
        <v>1</v>
      </c>
      <c r="D88" s="122" t="s">
        <v>54</v>
      </c>
      <c r="E88" s="122" t="s">
        <v>256</v>
      </c>
      <c r="F88" s="118"/>
      <c r="G88" s="118"/>
      <c r="H88" s="118"/>
      <c r="I88" s="118"/>
      <c r="J88" s="118"/>
    </row>
    <row r="89" spans="1:10" ht="28">
      <c r="A89" s="122" t="s">
        <v>252</v>
      </c>
      <c r="B89" s="122" t="s">
        <v>35</v>
      </c>
      <c r="C89" s="122">
        <v>1</v>
      </c>
      <c r="D89" s="122" t="s">
        <v>54</v>
      </c>
      <c r="E89" s="122" t="s">
        <v>257</v>
      </c>
      <c r="F89" s="118"/>
      <c r="G89" s="118"/>
      <c r="H89" s="118"/>
      <c r="I89" s="118"/>
      <c r="J89" s="118"/>
    </row>
    <row r="90" spans="1:10">
      <c r="A90" s="91"/>
      <c r="B90" s="92"/>
      <c r="C90" s="92"/>
      <c r="D90" s="92"/>
      <c r="E90" s="91"/>
      <c r="F90" s="92"/>
      <c r="G90" s="92"/>
      <c r="H90" s="92"/>
      <c r="I90" s="92"/>
      <c r="J90" s="92"/>
    </row>
    <row r="91" spans="1:10" ht="28">
      <c r="A91" s="49" t="s">
        <v>259</v>
      </c>
      <c r="B91" s="49" t="s">
        <v>35</v>
      </c>
      <c r="C91" s="49">
        <v>1</v>
      </c>
      <c r="D91" s="36" t="s">
        <v>17</v>
      </c>
      <c r="E91" s="49" t="s">
        <v>280</v>
      </c>
      <c r="F91" s="49" t="s">
        <v>260</v>
      </c>
      <c r="G91" s="102">
        <v>1</v>
      </c>
      <c r="H91" s="49"/>
      <c r="I91" s="103">
        <v>45798</v>
      </c>
      <c r="J91" s="49"/>
    </row>
    <row r="92" spans="1:10" ht="28">
      <c r="A92" s="49" t="s">
        <v>259</v>
      </c>
      <c r="B92" s="49" t="s">
        <v>35</v>
      </c>
      <c r="C92" s="49">
        <v>1</v>
      </c>
      <c r="D92" s="36" t="s">
        <v>17</v>
      </c>
      <c r="E92" s="49" t="s">
        <v>281</v>
      </c>
      <c r="F92" s="49"/>
      <c r="G92" s="102">
        <v>1</v>
      </c>
      <c r="H92" s="49"/>
      <c r="I92" s="103">
        <v>45810</v>
      </c>
      <c r="J92" s="103">
        <v>45817</v>
      </c>
    </row>
    <row r="93" spans="1:10" ht="28">
      <c r="A93" s="49" t="s">
        <v>259</v>
      </c>
      <c r="B93" s="49" t="s">
        <v>35</v>
      </c>
      <c r="C93" s="49">
        <v>1</v>
      </c>
      <c r="D93" s="36" t="s">
        <v>17</v>
      </c>
      <c r="E93" s="49" t="s">
        <v>282</v>
      </c>
      <c r="F93" s="49" t="s">
        <v>261</v>
      </c>
      <c r="G93" s="102">
        <v>1</v>
      </c>
      <c r="H93" s="49"/>
      <c r="I93" s="103">
        <v>45807</v>
      </c>
      <c r="J93" s="49"/>
    </row>
    <row r="94" spans="1:10" ht="28">
      <c r="A94" s="49" t="s">
        <v>259</v>
      </c>
      <c r="B94" s="49" t="s">
        <v>35</v>
      </c>
      <c r="C94" s="49">
        <v>1</v>
      </c>
      <c r="D94" s="36" t="s">
        <v>17</v>
      </c>
      <c r="E94" s="49" t="s">
        <v>283</v>
      </c>
      <c r="F94" s="49"/>
      <c r="G94" s="102">
        <v>1</v>
      </c>
      <c r="H94" s="49"/>
      <c r="I94" s="103">
        <v>45812</v>
      </c>
      <c r="J94" s="103">
        <v>45817</v>
      </c>
    </row>
    <row r="96" spans="1:10" ht="28">
      <c r="A96" s="49" t="s">
        <v>284</v>
      </c>
      <c r="B96" s="49" t="s">
        <v>35</v>
      </c>
      <c r="C96" s="49">
        <v>0</v>
      </c>
      <c r="D96" s="49" t="s">
        <v>17</v>
      </c>
      <c r="E96" s="49" t="s">
        <v>285</v>
      </c>
      <c r="F96" s="49"/>
      <c r="G96" s="102">
        <v>1</v>
      </c>
      <c r="H96" s="49"/>
      <c r="I96" s="103">
        <v>45800</v>
      </c>
      <c r="J96" s="103">
        <v>45800</v>
      </c>
    </row>
    <row r="97" spans="1:10" ht="28">
      <c r="A97" s="49" t="s">
        <v>284</v>
      </c>
      <c r="B97" s="49" t="s">
        <v>35</v>
      </c>
      <c r="C97" s="49">
        <v>0</v>
      </c>
      <c r="D97" s="49" t="s">
        <v>17</v>
      </c>
      <c r="E97" s="49" t="s">
        <v>286</v>
      </c>
      <c r="F97" s="49"/>
      <c r="G97" s="102">
        <v>1</v>
      </c>
      <c r="H97" s="49"/>
      <c r="I97" s="103">
        <v>45800</v>
      </c>
      <c r="J97" s="103">
        <v>45800</v>
      </c>
    </row>
    <row r="98" spans="1:10" ht="28">
      <c r="A98" s="49" t="s">
        <v>284</v>
      </c>
      <c r="B98" s="49" t="s">
        <v>35</v>
      </c>
      <c r="C98" s="49">
        <v>0</v>
      </c>
      <c r="D98" s="49" t="s">
        <v>17</v>
      </c>
      <c r="E98" s="49" t="s">
        <v>287</v>
      </c>
      <c r="F98" s="49"/>
      <c r="G98" s="102">
        <v>1</v>
      </c>
      <c r="H98" s="49"/>
      <c r="I98" s="103">
        <v>45800</v>
      </c>
      <c r="J98" s="103">
        <v>45803</v>
      </c>
    </row>
    <row r="99" spans="1:10" ht="28">
      <c r="A99" s="49" t="s">
        <v>284</v>
      </c>
      <c r="B99" s="49" t="s">
        <v>35</v>
      </c>
      <c r="C99" s="49">
        <v>0</v>
      </c>
      <c r="D99" s="49" t="s">
        <v>17</v>
      </c>
      <c r="E99" s="49" t="s">
        <v>288</v>
      </c>
      <c r="F99" s="49"/>
      <c r="G99" s="102">
        <v>1</v>
      </c>
      <c r="H99" s="49"/>
      <c r="I99" s="103">
        <v>45803</v>
      </c>
      <c r="J99" s="103">
        <v>45804</v>
      </c>
    </row>
    <row r="101" spans="1:10" ht="42">
      <c r="A101" s="49" t="s">
        <v>423</v>
      </c>
      <c r="B101" s="49" t="s">
        <v>35</v>
      </c>
      <c r="C101" s="49"/>
      <c r="D101" s="149" t="s">
        <v>17</v>
      </c>
      <c r="E101" s="49" t="s">
        <v>424</v>
      </c>
      <c r="F101" s="49" t="s">
        <v>425</v>
      </c>
      <c r="G101" s="142">
        <v>1</v>
      </c>
      <c r="H101" s="143"/>
      <c r="I101" s="144">
        <v>45841</v>
      </c>
      <c r="J101" s="143"/>
    </row>
    <row r="102" spans="1:10" ht="28">
      <c r="A102" s="49" t="s">
        <v>423</v>
      </c>
      <c r="B102" s="49" t="s">
        <v>35</v>
      </c>
      <c r="C102" s="49"/>
      <c r="D102" s="149" t="s">
        <v>17</v>
      </c>
      <c r="E102" s="49" t="s">
        <v>426</v>
      </c>
      <c r="F102" s="49" t="s">
        <v>427</v>
      </c>
      <c r="G102" s="142">
        <v>1</v>
      </c>
      <c r="H102" s="143"/>
      <c r="I102" s="144">
        <v>45845</v>
      </c>
      <c r="J102" s="144">
        <v>45847</v>
      </c>
    </row>
    <row r="103" spans="1:10" ht="28">
      <c r="A103" s="49" t="s">
        <v>423</v>
      </c>
      <c r="B103" s="49" t="s">
        <v>35</v>
      </c>
      <c r="C103" s="49"/>
      <c r="D103" s="149" t="s">
        <v>17</v>
      </c>
      <c r="E103" s="49" t="s">
        <v>428</v>
      </c>
      <c r="F103" s="49"/>
      <c r="G103" s="142">
        <v>1</v>
      </c>
      <c r="H103" s="143"/>
      <c r="I103" s="144">
        <v>45842</v>
      </c>
      <c r="J103" s="144">
        <v>45845</v>
      </c>
    </row>
    <row r="104" spans="1:10" ht="28">
      <c r="A104" s="49" t="s">
        <v>423</v>
      </c>
      <c r="B104" s="49" t="s">
        <v>35</v>
      </c>
      <c r="C104" s="49"/>
      <c r="D104" s="149" t="s">
        <v>17</v>
      </c>
      <c r="E104" s="49" t="s">
        <v>429</v>
      </c>
      <c r="F104" s="49"/>
      <c r="G104" s="142">
        <v>1</v>
      </c>
      <c r="H104" s="143"/>
      <c r="I104" s="144">
        <v>45842</v>
      </c>
      <c r="J104" s="144">
        <v>45845</v>
      </c>
    </row>
    <row r="105" spans="1:10" ht="28">
      <c r="A105" s="49" t="s">
        <v>423</v>
      </c>
      <c r="B105" s="49" t="s">
        <v>35</v>
      </c>
      <c r="C105" s="49"/>
      <c r="D105" s="149" t="s">
        <v>17</v>
      </c>
      <c r="E105" s="49" t="s">
        <v>430</v>
      </c>
      <c r="F105" s="49"/>
      <c r="G105" s="142">
        <v>1</v>
      </c>
      <c r="H105" s="143"/>
      <c r="I105" s="144">
        <v>45845</v>
      </c>
      <c r="J105" s="144">
        <v>45848</v>
      </c>
    </row>
    <row r="107" spans="1:10" ht="28">
      <c r="A107" s="49" t="s">
        <v>350</v>
      </c>
      <c r="B107" s="49" t="s">
        <v>35</v>
      </c>
      <c r="C107" s="149"/>
      <c r="D107" s="149" t="s">
        <v>17</v>
      </c>
      <c r="E107" s="49" t="s">
        <v>474</v>
      </c>
      <c r="F107" s="49"/>
      <c r="G107" s="150">
        <v>1</v>
      </c>
      <c r="H107" s="149"/>
      <c r="I107" s="151">
        <v>45868</v>
      </c>
      <c r="J107" s="151">
        <v>45868</v>
      </c>
    </row>
    <row r="108" spans="1:10" ht="70">
      <c r="A108" s="49" t="s">
        <v>350</v>
      </c>
      <c r="B108" s="49" t="s">
        <v>35</v>
      </c>
      <c r="C108" s="149"/>
      <c r="D108" s="149" t="s">
        <v>17</v>
      </c>
      <c r="E108" s="49" t="s">
        <v>475</v>
      </c>
      <c r="F108" s="49"/>
      <c r="G108" s="150">
        <v>1</v>
      </c>
      <c r="H108" s="149"/>
      <c r="I108" s="151">
        <v>45868</v>
      </c>
      <c r="J108" s="151">
        <v>45868</v>
      </c>
    </row>
    <row r="109" spans="1:10" ht="42">
      <c r="A109" s="49" t="s">
        <v>350</v>
      </c>
      <c r="B109" s="49" t="s">
        <v>35</v>
      </c>
      <c r="C109" s="149"/>
      <c r="D109" s="149" t="s">
        <v>17</v>
      </c>
      <c r="E109" s="49" t="s">
        <v>476</v>
      </c>
      <c r="F109" s="49"/>
      <c r="G109" s="150">
        <v>1</v>
      </c>
      <c r="H109" s="149"/>
      <c r="I109" s="151">
        <v>45868</v>
      </c>
      <c r="J109" s="151">
        <v>45868</v>
      </c>
    </row>
    <row r="110" spans="1:10" ht="42">
      <c r="A110" s="49" t="s">
        <v>350</v>
      </c>
      <c r="B110" s="49" t="s">
        <v>35</v>
      </c>
      <c r="C110" s="149"/>
      <c r="D110" s="149" t="s">
        <v>17</v>
      </c>
      <c r="E110" s="49" t="s">
        <v>477</v>
      </c>
      <c r="F110" s="49"/>
      <c r="G110" s="150">
        <v>1</v>
      </c>
      <c r="H110" s="149"/>
      <c r="I110" s="151">
        <v>45868</v>
      </c>
      <c r="J110" s="151">
        <v>45868</v>
      </c>
    </row>
    <row r="111" spans="1:10" ht="28">
      <c r="A111" s="49" t="s">
        <v>350</v>
      </c>
      <c r="B111" s="49" t="s">
        <v>35</v>
      </c>
      <c r="C111" s="149"/>
      <c r="D111" s="149" t="s">
        <v>17</v>
      </c>
      <c r="E111" s="49" t="s">
        <v>478</v>
      </c>
      <c r="F111" s="49"/>
      <c r="G111" s="150">
        <v>1</v>
      </c>
      <c r="H111" s="149"/>
      <c r="I111" s="151">
        <v>45868</v>
      </c>
      <c r="J111" s="151">
        <v>45868</v>
      </c>
    </row>
    <row r="112" spans="1:10" ht="42">
      <c r="A112" s="49" t="s">
        <v>350</v>
      </c>
      <c r="B112" s="49" t="s">
        <v>35</v>
      </c>
      <c r="C112" s="149"/>
      <c r="D112" s="149" t="s">
        <v>17</v>
      </c>
      <c r="E112" s="49" t="s">
        <v>479</v>
      </c>
      <c r="F112" s="49" t="s">
        <v>480</v>
      </c>
      <c r="G112" s="150">
        <v>1</v>
      </c>
      <c r="H112" s="149"/>
      <c r="I112" s="151">
        <v>45868</v>
      </c>
      <c r="J112" s="151">
        <v>45868</v>
      </c>
    </row>
    <row r="114" spans="1:10" ht="28">
      <c r="A114" s="49" t="s">
        <v>534</v>
      </c>
      <c r="B114" s="49" t="s">
        <v>35</v>
      </c>
      <c r="C114" s="149"/>
      <c r="D114" s="149" t="s">
        <v>17</v>
      </c>
      <c r="E114" s="49" t="s">
        <v>535</v>
      </c>
      <c r="F114" s="49" t="s">
        <v>577</v>
      </c>
      <c r="G114" s="150">
        <v>1</v>
      </c>
      <c r="H114" s="149"/>
      <c r="I114" s="151">
        <v>45939</v>
      </c>
      <c r="J114" s="151">
        <v>45939</v>
      </c>
    </row>
    <row r="115" spans="1:10" ht="42">
      <c r="A115" s="49" t="s">
        <v>534</v>
      </c>
      <c r="B115" s="49" t="s">
        <v>35</v>
      </c>
      <c r="C115" s="149"/>
      <c r="D115" s="149" t="s">
        <v>17</v>
      </c>
      <c r="E115" s="49" t="s">
        <v>536</v>
      </c>
      <c r="F115" s="49" t="s">
        <v>578</v>
      </c>
      <c r="G115" s="150">
        <v>1</v>
      </c>
      <c r="H115" s="149"/>
      <c r="I115" s="151">
        <v>45939</v>
      </c>
      <c r="J115" s="151">
        <v>45939</v>
      </c>
    </row>
    <row r="116" spans="1:10" ht="28">
      <c r="A116" s="160" t="s">
        <v>534</v>
      </c>
      <c r="B116" s="160" t="s">
        <v>35</v>
      </c>
      <c r="C116" s="161"/>
      <c r="D116" s="161" t="s">
        <v>53</v>
      </c>
      <c r="E116" s="160" t="s">
        <v>537</v>
      </c>
      <c r="F116" s="160"/>
      <c r="G116" s="162">
        <v>0.5</v>
      </c>
      <c r="H116" s="161"/>
      <c r="I116" s="163">
        <v>45945</v>
      </c>
      <c r="J116" s="163">
        <v>45945</v>
      </c>
    </row>
    <row r="117" spans="1:10" ht="28">
      <c r="A117" s="160" t="s">
        <v>534</v>
      </c>
      <c r="B117" s="160" t="s">
        <v>35</v>
      </c>
      <c r="C117" s="161"/>
      <c r="D117" s="161" t="s">
        <v>53</v>
      </c>
      <c r="E117" s="160" t="s">
        <v>538</v>
      </c>
      <c r="F117" s="160"/>
      <c r="G117" s="162">
        <v>0.5</v>
      </c>
      <c r="H117" s="161"/>
      <c r="I117" s="163">
        <v>45945</v>
      </c>
      <c r="J117" s="163">
        <v>45945</v>
      </c>
    </row>
    <row r="118" spans="1:10" ht="28">
      <c r="A118" s="160" t="s">
        <v>534</v>
      </c>
      <c r="B118" s="160" t="s">
        <v>35</v>
      </c>
      <c r="C118" s="161"/>
      <c r="D118" s="161" t="s">
        <v>53</v>
      </c>
      <c r="E118" s="160" t="s">
        <v>539</v>
      </c>
      <c r="F118" s="160"/>
      <c r="G118" s="162">
        <v>0.5</v>
      </c>
      <c r="H118" s="161"/>
      <c r="I118" s="163">
        <v>45945</v>
      </c>
      <c r="J118" s="163">
        <v>45945</v>
      </c>
    </row>
    <row r="119" spans="1:10" ht="28">
      <c r="A119" s="49" t="s">
        <v>534</v>
      </c>
      <c r="B119" s="49" t="s">
        <v>35</v>
      </c>
      <c r="C119" s="149"/>
      <c r="D119" s="149" t="s">
        <v>17</v>
      </c>
      <c r="E119" s="49" t="s">
        <v>540</v>
      </c>
      <c r="F119" s="49"/>
      <c r="G119" s="150">
        <v>1</v>
      </c>
      <c r="H119" s="149"/>
      <c r="I119" s="151">
        <v>45939</v>
      </c>
      <c r="J119" s="151">
        <v>45939</v>
      </c>
    </row>
    <row r="120" spans="1:10" ht="28">
      <c r="A120" s="49" t="s">
        <v>534</v>
      </c>
      <c r="B120" s="49" t="s">
        <v>35</v>
      </c>
      <c r="C120" s="149"/>
      <c r="D120" s="149" t="s">
        <v>17</v>
      </c>
      <c r="E120" s="49" t="s">
        <v>541</v>
      </c>
      <c r="F120" s="49"/>
      <c r="G120" s="150">
        <v>1</v>
      </c>
      <c r="H120" s="149"/>
      <c r="I120" s="151">
        <v>45939</v>
      </c>
      <c r="J120" s="151">
        <v>45939</v>
      </c>
    </row>
    <row r="121" spans="1:10" ht="42">
      <c r="A121" s="49" t="s">
        <v>534</v>
      </c>
      <c r="B121" s="49" t="s">
        <v>35</v>
      </c>
      <c r="C121" s="149"/>
      <c r="D121" s="149" t="s">
        <v>17</v>
      </c>
      <c r="E121" s="49" t="s">
        <v>542</v>
      </c>
      <c r="F121" s="49"/>
      <c r="G121" s="150">
        <v>1</v>
      </c>
      <c r="H121" s="149"/>
      <c r="I121" s="151">
        <v>45939</v>
      </c>
      <c r="J121" s="151">
        <v>45939</v>
      </c>
    </row>
    <row r="122" spans="1:10" ht="42">
      <c r="A122" s="160" t="s">
        <v>534</v>
      </c>
      <c r="B122" s="160" t="s">
        <v>35</v>
      </c>
      <c r="C122" s="161"/>
      <c r="D122" s="161" t="s">
        <v>53</v>
      </c>
      <c r="E122" s="160" t="s">
        <v>543</v>
      </c>
      <c r="F122" s="160"/>
      <c r="G122" s="162">
        <v>0.5</v>
      </c>
      <c r="H122" s="161"/>
      <c r="I122" s="163">
        <v>45945</v>
      </c>
      <c r="J122" s="163">
        <v>45945</v>
      </c>
    </row>
    <row r="123" spans="1:10">
      <c r="A123" s="182"/>
      <c r="B123" s="182"/>
      <c r="C123" s="183"/>
      <c r="D123" s="183"/>
      <c r="E123" s="182"/>
      <c r="F123" s="182"/>
      <c r="G123" s="184"/>
      <c r="H123" s="183"/>
      <c r="I123" s="185"/>
      <c r="J123" s="185"/>
    </row>
    <row r="124" spans="1:10" ht="42">
      <c r="A124" s="49" t="s">
        <v>278</v>
      </c>
      <c r="B124" s="49" t="s">
        <v>35</v>
      </c>
      <c r="C124" s="149"/>
      <c r="D124" s="149" t="s">
        <v>17</v>
      </c>
      <c r="E124" s="49" t="s">
        <v>579</v>
      </c>
      <c r="F124" s="49" t="s">
        <v>580</v>
      </c>
      <c r="G124" s="150" t="s">
        <v>35</v>
      </c>
      <c r="H124" s="149" t="s">
        <v>35</v>
      </c>
      <c r="I124" s="151">
        <v>45951</v>
      </c>
      <c r="J124" s="151">
        <v>45951</v>
      </c>
    </row>
    <row r="125" spans="1:10" ht="28">
      <c r="A125" s="49" t="s">
        <v>278</v>
      </c>
      <c r="B125" s="49" t="s">
        <v>35</v>
      </c>
      <c r="C125" s="149"/>
      <c r="D125" s="149" t="s">
        <v>17</v>
      </c>
      <c r="E125" s="49" t="s">
        <v>581</v>
      </c>
      <c r="F125" s="49"/>
      <c r="G125" s="150" t="s">
        <v>35</v>
      </c>
      <c r="H125" s="149" t="s">
        <v>35</v>
      </c>
      <c r="I125" s="151">
        <v>45951</v>
      </c>
      <c r="J125" s="151">
        <v>45951</v>
      </c>
    </row>
    <row r="126" spans="1:10" ht="28">
      <c r="A126" s="49" t="s">
        <v>278</v>
      </c>
      <c r="B126" s="49" t="s">
        <v>35</v>
      </c>
      <c r="C126" s="149"/>
      <c r="D126" s="149" t="s">
        <v>17</v>
      </c>
      <c r="E126" s="49" t="s">
        <v>582</v>
      </c>
      <c r="F126" s="49"/>
      <c r="G126" s="150" t="s">
        <v>35</v>
      </c>
      <c r="H126" s="149" t="s">
        <v>35</v>
      </c>
      <c r="I126" s="151">
        <v>45951</v>
      </c>
      <c r="J126" s="151">
        <v>45951</v>
      </c>
    </row>
    <row r="130" spans="1:7">
      <c r="A130" s="94" t="s">
        <v>262</v>
      </c>
      <c r="B130" s="94" t="s">
        <v>263</v>
      </c>
      <c r="C130" s="95"/>
      <c r="D130" s="95"/>
      <c r="F130"/>
      <c r="G130" s="186"/>
    </row>
    <row r="131" spans="1:7">
      <c r="A131" s="94" t="s">
        <v>124</v>
      </c>
      <c r="B131" s="96">
        <v>0.34375</v>
      </c>
      <c r="C131" s="95"/>
      <c r="D131" s="95"/>
      <c r="F131"/>
      <c r="G131" s="186"/>
    </row>
    <row r="132" spans="1:7">
      <c r="A132" s="94" t="s">
        <v>107</v>
      </c>
      <c r="B132" s="96">
        <v>0.35416666666666702</v>
      </c>
      <c r="C132" s="95"/>
      <c r="D132" s="95"/>
      <c r="F132"/>
      <c r="G132" s="186"/>
    </row>
    <row r="133" spans="1:7">
      <c r="A133" s="177" t="s">
        <v>264</v>
      </c>
      <c r="B133" s="178">
        <v>0.36111111111111099</v>
      </c>
      <c r="C133" s="179" t="s">
        <v>576</v>
      </c>
      <c r="D133" s="95"/>
      <c r="G133" s="186"/>
    </row>
    <row r="134" spans="1:7">
      <c r="A134" s="180" t="s">
        <v>265</v>
      </c>
      <c r="B134" s="181">
        <v>0.36805555555555602</v>
      </c>
      <c r="C134" s="95"/>
      <c r="D134" s="95" t="s">
        <v>266</v>
      </c>
    </row>
    <row r="135" spans="1:7">
      <c r="A135" s="177" t="s">
        <v>267</v>
      </c>
      <c r="B135" s="178">
        <v>0.375</v>
      </c>
      <c r="C135" s="179" t="s">
        <v>576</v>
      </c>
      <c r="D135" s="95"/>
      <c r="G135" s="187"/>
    </row>
    <row r="136" spans="1:7">
      <c r="A136" s="94" t="s">
        <v>268</v>
      </c>
      <c r="B136" s="96">
        <v>0.38194444444444398</v>
      </c>
      <c r="C136" s="95"/>
      <c r="D136" s="95"/>
    </row>
    <row r="137" spans="1:7">
      <c r="A137" s="94" t="s">
        <v>269</v>
      </c>
      <c r="B137" s="96">
        <v>0.39583333333333298</v>
      </c>
      <c r="C137" s="95"/>
      <c r="D137" s="95"/>
    </row>
    <row r="138" spans="1:7">
      <c r="A138" s="94" t="s">
        <v>270</v>
      </c>
      <c r="B138" s="96">
        <v>0.66666666666666696</v>
      </c>
      <c r="C138" s="95"/>
      <c r="D138" s="95"/>
    </row>
    <row r="139" spans="1:7">
      <c r="A139" s="94" t="s">
        <v>271</v>
      </c>
      <c r="B139" s="96">
        <v>0.75</v>
      </c>
      <c r="C139" s="95"/>
      <c r="D139" s="95"/>
    </row>
    <row r="140" spans="1:7">
      <c r="A140" s="94" t="s">
        <v>279</v>
      </c>
      <c r="B140" s="96">
        <v>0.77083333333333337</v>
      </c>
      <c r="C140" s="95"/>
      <c r="D140" s="95"/>
    </row>
    <row r="141" spans="1:7">
      <c r="A141" s="94" t="s">
        <v>272</v>
      </c>
      <c r="B141" s="96">
        <v>0.875</v>
      </c>
      <c r="C141" s="95"/>
      <c r="D141" s="95"/>
    </row>
    <row r="142" spans="1:7">
      <c r="A142" s="97" t="s">
        <v>273</v>
      </c>
      <c r="B142" s="98">
        <v>0.22916666666666699</v>
      </c>
      <c r="C142" s="95"/>
      <c r="D142" s="95"/>
    </row>
    <row r="143" spans="1:7">
      <c r="A143" s="97" t="s">
        <v>274</v>
      </c>
      <c r="B143" s="98">
        <v>0.27083333333333298</v>
      </c>
      <c r="C143" s="95"/>
      <c r="D143" s="95"/>
    </row>
    <row r="144" spans="1:7">
      <c r="A144" s="97" t="s">
        <v>275</v>
      </c>
      <c r="B144" s="98">
        <v>0.29166666666666702</v>
      </c>
      <c r="C144" s="95"/>
      <c r="D144" s="95" t="s">
        <v>276</v>
      </c>
    </row>
    <row r="145" spans="1:7">
      <c r="A145" s="97" t="s">
        <v>277</v>
      </c>
      <c r="B145" s="98">
        <v>0.58333333333333304</v>
      </c>
      <c r="C145" s="95"/>
      <c r="D145" s="95"/>
    </row>
    <row r="146" spans="1:7">
      <c r="A146" s="97" t="s">
        <v>278</v>
      </c>
      <c r="B146" s="98">
        <v>0.91666666666666696</v>
      </c>
      <c r="C146" s="95"/>
      <c r="D146" s="95"/>
    </row>
    <row r="148" spans="1:7">
      <c r="B148" s="40"/>
      <c r="C148" s="40"/>
      <c r="D148" s="40"/>
      <c r="F148" s="40"/>
      <c r="G148" s="40"/>
    </row>
    <row r="149" spans="1:7">
      <c r="B149" s="40"/>
      <c r="C149" s="40"/>
      <c r="D149" s="40"/>
      <c r="F149" s="40"/>
      <c r="G149" s="40"/>
    </row>
    <row r="150" spans="1:7">
      <c r="B150" s="40"/>
      <c r="C150" s="40"/>
      <c r="D150" s="40"/>
      <c r="F150" s="40"/>
      <c r="G150" s="40"/>
    </row>
    <row r="151" spans="1:7">
      <c r="B151" s="40"/>
      <c r="C151" s="40"/>
      <c r="D151" s="40"/>
      <c r="F151" s="40"/>
      <c r="G151" s="40"/>
    </row>
    <row r="152" spans="1:7">
      <c r="B152" s="40"/>
      <c r="C152" s="40"/>
      <c r="D152" s="40"/>
      <c r="F152" s="40"/>
      <c r="G152" s="40"/>
    </row>
    <row r="153" spans="1:7">
      <c r="B153" s="40"/>
      <c r="C153" s="40"/>
      <c r="D153" s="40"/>
      <c r="F153" s="40"/>
      <c r="G153" s="40"/>
    </row>
    <row r="154" spans="1:7">
      <c r="B154" s="40"/>
      <c r="C154" s="40"/>
      <c r="D154" s="40"/>
      <c r="F154" s="40"/>
      <c r="G154" s="40"/>
    </row>
    <row r="155" spans="1:7">
      <c r="B155" s="40"/>
      <c r="C155" s="40"/>
      <c r="D155" s="40"/>
      <c r="F155" s="40"/>
      <c r="G155" s="40"/>
    </row>
    <row r="156" spans="1:7">
      <c r="B156" s="40"/>
      <c r="C156" s="40"/>
      <c r="D156" s="40"/>
      <c r="F156" s="40"/>
      <c r="G156" s="40"/>
    </row>
    <row r="157" spans="1:7">
      <c r="B157" s="40"/>
      <c r="C157" s="40"/>
      <c r="D157" s="40"/>
      <c r="F157" s="40"/>
      <c r="G157" s="40"/>
    </row>
    <row r="158" spans="1:7">
      <c r="B158" s="40"/>
      <c r="C158" s="40"/>
      <c r="D158" s="40"/>
      <c r="F158" s="40"/>
      <c r="G158" s="40"/>
    </row>
    <row r="159" spans="1:7">
      <c r="B159" s="40"/>
      <c r="C159" s="40"/>
      <c r="D159" s="40"/>
      <c r="F159" s="40"/>
      <c r="G159" s="40"/>
    </row>
    <row r="160" spans="1:7">
      <c r="B160" s="40"/>
      <c r="C160" s="40"/>
      <c r="D160" s="40"/>
      <c r="F160" s="40"/>
      <c r="G160" s="40"/>
    </row>
    <row r="161" spans="2:7">
      <c r="B161" s="40"/>
      <c r="C161" s="40"/>
      <c r="D161" s="40"/>
      <c r="F161" s="40"/>
      <c r="G161" s="40"/>
    </row>
    <row r="162" spans="2:7">
      <c r="B162" s="40"/>
      <c r="C162" s="40"/>
      <c r="D162" s="40"/>
      <c r="F162" s="40"/>
      <c r="G162" s="40"/>
    </row>
    <row r="163" spans="2:7">
      <c r="B163" s="40"/>
      <c r="C163" s="40"/>
      <c r="D163" s="40"/>
      <c r="F163" s="40"/>
      <c r="G163" s="40"/>
    </row>
    <row r="164" spans="2:7">
      <c r="B164" s="40"/>
      <c r="C164" s="40"/>
      <c r="D164" s="40"/>
      <c r="F164" s="40"/>
      <c r="G164" s="40"/>
    </row>
    <row r="165" spans="2:7">
      <c r="B165" s="40"/>
      <c r="C165" s="40"/>
      <c r="D165" s="40"/>
      <c r="F165" s="40"/>
      <c r="G165" s="40"/>
    </row>
    <row r="166" spans="2:7">
      <c r="B166" s="40"/>
      <c r="C166" s="40"/>
      <c r="D166" s="40"/>
      <c r="F166" s="40"/>
      <c r="G166" s="40"/>
    </row>
    <row r="167" spans="2:7">
      <c r="B167" s="40"/>
      <c r="C167" s="40"/>
      <c r="D167" s="40"/>
      <c r="F167" s="40"/>
      <c r="G167" s="40"/>
    </row>
    <row r="168" spans="2:7">
      <c r="B168" s="40"/>
      <c r="C168" s="40"/>
      <c r="D168" s="40"/>
      <c r="F168" s="40"/>
      <c r="G168" s="40"/>
    </row>
    <row r="169" spans="2:7">
      <c r="B169" s="40"/>
      <c r="C169" s="40"/>
      <c r="D169" s="40"/>
      <c r="F169" s="40"/>
      <c r="G169" s="40"/>
    </row>
    <row r="170" spans="2:7">
      <c r="B170" s="40"/>
      <c r="C170" s="40"/>
      <c r="D170" s="40"/>
      <c r="F170" s="40"/>
      <c r="G170" s="40"/>
    </row>
    <row r="171" spans="2:7">
      <c r="B171" s="40"/>
      <c r="C171" s="40"/>
      <c r="D171" s="40"/>
      <c r="F171" s="40"/>
      <c r="G171" s="4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'C:\Users\SAM\Downloads\[Backlog al 17 02 2025.xlsx]Hoja2'!#REF!</xm:f>
          </x14:formula1>
          <xm:sqref>D2:D15 D17:D22 D24:D35</xm:sqref>
        </x14:dataValidation>
        <x14:dataValidation type="list" allowBlank="1" showInputMessage="1" showErrorMessage="1" xr:uid="{00000000-0002-0000-0300-000001000000}">
          <x14:formula1>
            <xm:f>Hoja2!$B$3:$B$8</xm:f>
          </x14:formula1>
          <xm:sqref>D37:D45 D47:D51 D53 D58:D59 D61:D64 D66:D73</xm:sqref>
        </x14:dataValidation>
        <x14:dataValidation type="list" allowBlank="1" showInputMessage="1" showErrorMessage="1" xr:uid="{00000000-0002-0000-0300-000002000000}">
          <x14:formula1>
            <xm:f>'C:\Users\SAM\Downloads\[Backlog al 12 06 2025 (1).xlsx]Hoja2'!#REF!</xm:f>
          </x14:formula1>
          <xm:sqref>D85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7"/>
  <sheetViews>
    <sheetView tabSelected="1" zoomScale="80" zoomScaleNormal="80" workbookViewId="0">
      <pane ySplit="1" topLeftCell="A67" activePane="bottomLeft" state="frozen"/>
      <selection pane="bottomLeft" activeCell="I78" sqref="I78"/>
    </sheetView>
  </sheetViews>
  <sheetFormatPr baseColWidth="10" defaultRowHeight="14.5"/>
  <cols>
    <col min="1" max="1" width="25.90625" customWidth="1"/>
    <col min="2" max="2" width="23.26953125" bestFit="1" customWidth="1"/>
    <col min="4" max="4" width="19.453125" customWidth="1"/>
    <col min="5" max="5" width="30.08984375" style="86" customWidth="1"/>
    <col min="6" max="6" width="30.7265625" customWidth="1"/>
    <col min="7" max="7" width="13.6328125" customWidth="1"/>
    <col min="8" max="8" width="10.90625" style="84"/>
  </cols>
  <sheetData>
    <row r="1" spans="1:10">
      <c r="A1" s="1" t="s">
        <v>0</v>
      </c>
      <c r="B1" s="1" t="s">
        <v>1</v>
      </c>
      <c r="C1" s="1" t="s">
        <v>50</v>
      </c>
      <c r="D1" s="1" t="s">
        <v>51</v>
      </c>
      <c r="E1" s="1" t="s">
        <v>13</v>
      </c>
      <c r="F1" s="1" t="s">
        <v>60</v>
      </c>
      <c r="G1" s="2" t="s">
        <v>11</v>
      </c>
      <c r="H1" s="1" t="s">
        <v>114</v>
      </c>
      <c r="I1" s="2" t="s">
        <v>58</v>
      </c>
      <c r="J1" s="2" t="s">
        <v>58</v>
      </c>
    </row>
    <row r="2" spans="1:10" ht="56">
      <c r="A2" s="3" t="s">
        <v>72</v>
      </c>
      <c r="B2" s="4" t="s">
        <v>73</v>
      </c>
      <c r="C2" s="3">
        <v>1</v>
      </c>
      <c r="D2" s="3" t="s">
        <v>53</v>
      </c>
      <c r="E2" s="8" t="s">
        <v>74</v>
      </c>
      <c r="F2" s="5" t="s">
        <v>75</v>
      </c>
      <c r="G2" s="6">
        <v>1</v>
      </c>
      <c r="H2" s="3" t="s">
        <v>4</v>
      </c>
      <c r="I2" s="7">
        <v>45569</v>
      </c>
      <c r="J2" s="7">
        <v>45618</v>
      </c>
    </row>
    <row r="3" spans="1:10" ht="28">
      <c r="A3" s="21" t="s">
        <v>72</v>
      </c>
      <c r="B3" s="21" t="s">
        <v>73</v>
      </c>
      <c r="C3" s="21">
        <v>0</v>
      </c>
      <c r="D3" s="21" t="s">
        <v>17</v>
      </c>
      <c r="E3" s="22" t="s">
        <v>76</v>
      </c>
      <c r="F3" s="23" t="s">
        <v>18</v>
      </c>
      <c r="G3" s="24">
        <v>1</v>
      </c>
      <c r="H3" s="21" t="s">
        <v>22</v>
      </c>
      <c r="I3" s="25">
        <v>45316</v>
      </c>
      <c r="J3" s="25">
        <v>45632</v>
      </c>
    </row>
    <row r="4" spans="1:10" ht="28">
      <c r="A4" s="21" t="s">
        <v>72</v>
      </c>
      <c r="B4" s="21" t="s">
        <v>73</v>
      </c>
      <c r="C4" s="21">
        <v>0</v>
      </c>
      <c r="D4" s="21" t="s">
        <v>17</v>
      </c>
      <c r="E4" s="22" t="s">
        <v>77</v>
      </c>
      <c r="F4" s="23" t="s">
        <v>18</v>
      </c>
      <c r="G4" s="24">
        <v>1</v>
      </c>
      <c r="H4" s="21" t="s">
        <v>22</v>
      </c>
      <c r="I4" s="25">
        <v>45635</v>
      </c>
      <c r="J4" s="25">
        <v>45643</v>
      </c>
    </row>
    <row r="5" spans="1:10" ht="42">
      <c r="A5" s="21" t="s">
        <v>78</v>
      </c>
      <c r="B5" s="21" t="s">
        <v>79</v>
      </c>
      <c r="C5" s="21">
        <v>0</v>
      </c>
      <c r="D5" s="21" t="s">
        <v>17</v>
      </c>
      <c r="E5" s="22" t="s">
        <v>80</v>
      </c>
      <c r="F5" s="23" t="s">
        <v>18</v>
      </c>
      <c r="G5" s="24">
        <v>1</v>
      </c>
      <c r="H5" s="21" t="s">
        <v>10</v>
      </c>
      <c r="I5" s="25">
        <v>45644</v>
      </c>
      <c r="J5" s="25">
        <v>45646</v>
      </c>
    </row>
    <row r="6" spans="1:10" ht="42">
      <c r="A6" s="21" t="s">
        <v>78</v>
      </c>
      <c r="B6" s="21" t="s">
        <v>79</v>
      </c>
      <c r="C6" s="21">
        <v>0</v>
      </c>
      <c r="D6" s="21" t="s">
        <v>17</v>
      </c>
      <c r="E6" s="22" t="s">
        <v>81</v>
      </c>
      <c r="F6" s="23" t="s">
        <v>18</v>
      </c>
      <c r="G6" s="24">
        <v>1</v>
      </c>
      <c r="H6" s="21" t="s">
        <v>10</v>
      </c>
      <c r="I6" s="25">
        <v>45649</v>
      </c>
      <c r="J6" s="25">
        <v>45652</v>
      </c>
    </row>
    <row r="7" spans="1:10" ht="56">
      <c r="A7" s="21" t="s">
        <v>78</v>
      </c>
      <c r="B7" s="21" t="s">
        <v>79</v>
      </c>
      <c r="C7" s="21">
        <v>0</v>
      </c>
      <c r="D7" s="21" t="s">
        <v>17</v>
      </c>
      <c r="E7" s="22" t="s">
        <v>82</v>
      </c>
      <c r="F7" s="23" t="s">
        <v>18</v>
      </c>
      <c r="G7" s="24">
        <v>1</v>
      </c>
      <c r="H7" s="21" t="s">
        <v>10</v>
      </c>
      <c r="I7" s="25">
        <v>45653</v>
      </c>
      <c r="J7" s="25">
        <v>45688</v>
      </c>
    </row>
    <row r="8" spans="1:10" ht="42">
      <c r="A8" s="21" t="s">
        <v>78</v>
      </c>
      <c r="B8" s="21" t="s">
        <v>79</v>
      </c>
      <c r="C8" s="21">
        <v>0</v>
      </c>
      <c r="D8" s="21" t="s">
        <v>17</v>
      </c>
      <c r="E8" s="22" t="s">
        <v>83</v>
      </c>
      <c r="F8" s="23" t="s">
        <v>18</v>
      </c>
      <c r="G8" s="24">
        <v>1</v>
      </c>
      <c r="H8" s="21" t="s">
        <v>10</v>
      </c>
      <c r="I8" s="25">
        <v>45659</v>
      </c>
      <c r="J8" s="25">
        <v>45663</v>
      </c>
    </row>
    <row r="9" spans="1:10" ht="42">
      <c r="A9" s="21" t="s">
        <v>78</v>
      </c>
      <c r="B9" s="21" t="s">
        <v>79</v>
      </c>
      <c r="C9" s="21">
        <v>0</v>
      </c>
      <c r="D9" s="21" t="s">
        <v>17</v>
      </c>
      <c r="E9" s="22" t="s">
        <v>84</v>
      </c>
      <c r="F9" s="23" t="s">
        <v>18</v>
      </c>
      <c r="G9" s="24">
        <v>1</v>
      </c>
      <c r="H9" s="21" t="s">
        <v>8</v>
      </c>
      <c r="I9" s="25">
        <v>45664</v>
      </c>
      <c r="J9" s="25">
        <v>45665</v>
      </c>
    </row>
    <row r="10" spans="1:10" ht="28">
      <c r="A10" s="21" t="s">
        <v>72</v>
      </c>
      <c r="B10" s="21" t="s">
        <v>73</v>
      </c>
      <c r="C10" s="21">
        <v>0</v>
      </c>
      <c r="D10" s="21" t="s">
        <v>17</v>
      </c>
      <c r="E10" s="22" t="s">
        <v>85</v>
      </c>
      <c r="F10" s="23" t="s">
        <v>18</v>
      </c>
      <c r="G10" s="24">
        <v>1</v>
      </c>
      <c r="H10" s="21" t="s">
        <v>57</v>
      </c>
      <c r="I10" s="25">
        <v>45666</v>
      </c>
      <c r="J10" s="25">
        <v>45679</v>
      </c>
    </row>
    <row r="11" spans="1:10" ht="28">
      <c r="A11" s="21" t="s">
        <v>78</v>
      </c>
      <c r="B11" s="21" t="s">
        <v>79</v>
      </c>
      <c r="C11" s="21">
        <v>0</v>
      </c>
      <c r="D11" s="21" t="s">
        <v>17</v>
      </c>
      <c r="E11" s="22" t="s">
        <v>86</v>
      </c>
      <c r="F11" s="23" t="s">
        <v>18</v>
      </c>
      <c r="G11" s="24">
        <v>1</v>
      </c>
      <c r="H11" s="21" t="s">
        <v>87</v>
      </c>
      <c r="I11" s="25">
        <v>45680</v>
      </c>
      <c r="J11" s="25">
        <v>45695</v>
      </c>
    </row>
    <row r="12" spans="1:10" ht="28">
      <c r="A12" s="21" t="s">
        <v>78</v>
      </c>
      <c r="B12" s="21" t="s">
        <v>79</v>
      </c>
      <c r="C12" s="21">
        <v>0</v>
      </c>
      <c r="D12" s="21" t="s">
        <v>17</v>
      </c>
      <c r="E12" s="22" t="s">
        <v>88</v>
      </c>
      <c r="F12" s="23" t="s">
        <v>18</v>
      </c>
      <c r="G12" s="24">
        <v>1</v>
      </c>
      <c r="H12" s="21" t="s">
        <v>8</v>
      </c>
      <c r="I12" s="25">
        <v>45698</v>
      </c>
      <c r="J12" s="25">
        <v>45699</v>
      </c>
    </row>
    <row r="13" spans="1:10" ht="28">
      <c r="A13" s="21" t="s">
        <v>72</v>
      </c>
      <c r="B13" s="21" t="s">
        <v>73</v>
      </c>
      <c r="C13" s="21">
        <v>0</v>
      </c>
      <c r="D13" s="21" t="s">
        <v>17</v>
      </c>
      <c r="E13" s="22" t="s">
        <v>89</v>
      </c>
      <c r="F13" s="23" t="s">
        <v>18</v>
      </c>
      <c r="G13" s="24">
        <v>1</v>
      </c>
      <c r="H13" s="21" t="s">
        <v>8</v>
      </c>
      <c r="I13" s="25">
        <v>45700</v>
      </c>
      <c r="J13" s="25">
        <v>45701</v>
      </c>
    </row>
    <row r="14" spans="1:10" ht="28">
      <c r="A14" s="21" t="s">
        <v>78</v>
      </c>
      <c r="B14" s="21" t="s">
        <v>79</v>
      </c>
      <c r="C14" s="21">
        <v>0</v>
      </c>
      <c r="D14" s="21" t="s">
        <v>17</v>
      </c>
      <c r="E14" s="22" t="s">
        <v>88</v>
      </c>
      <c r="F14" s="23" t="s">
        <v>18</v>
      </c>
      <c r="G14" s="24">
        <v>1</v>
      </c>
      <c r="H14" s="21" t="s">
        <v>4</v>
      </c>
      <c r="I14" s="25">
        <v>45702</v>
      </c>
      <c r="J14" s="25">
        <v>45702</v>
      </c>
    </row>
    <row r="15" spans="1:10" ht="28">
      <c r="A15" s="21" t="s">
        <v>78</v>
      </c>
      <c r="B15" s="21" t="s">
        <v>79</v>
      </c>
      <c r="C15" s="21">
        <v>0</v>
      </c>
      <c r="D15" s="21" t="s">
        <v>17</v>
      </c>
      <c r="E15" s="22" t="s">
        <v>90</v>
      </c>
      <c r="F15" s="23" t="s">
        <v>18</v>
      </c>
      <c r="G15" s="24">
        <v>1</v>
      </c>
      <c r="H15" s="21" t="s">
        <v>4</v>
      </c>
      <c r="I15" s="25">
        <v>45702</v>
      </c>
      <c r="J15" s="25">
        <v>45702</v>
      </c>
    </row>
    <row r="16" spans="1:10" ht="28">
      <c r="A16" s="21" t="s">
        <v>78</v>
      </c>
      <c r="B16" s="21" t="s">
        <v>79</v>
      </c>
      <c r="C16" s="21">
        <v>0</v>
      </c>
      <c r="D16" s="21" t="s">
        <v>17</v>
      </c>
      <c r="E16" s="22" t="s">
        <v>91</v>
      </c>
      <c r="F16" s="23" t="s">
        <v>18</v>
      </c>
      <c r="G16" s="24">
        <v>1</v>
      </c>
      <c r="H16" s="21" t="s">
        <v>10</v>
      </c>
      <c r="I16" s="25">
        <v>45705</v>
      </c>
      <c r="J16" s="25">
        <v>45707</v>
      </c>
    </row>
    <row r="17" spans="1:10" ht="28">
      <c r="A17" s="21" t="s">
        <v>78</v>
      </c>
      <c r="B17" s="21" t="s">
        <v>79</v>
      </c>
      <c r="C17" s="21">
        <v>0</v>
      </c>
      <c r="D17" s="21" t="s">
        <v>17</v>
      </c>
      <c r="E17" s="22" t="s">
        <v>92</v>
      </c>
      <c r="F17" s="23" t="s">
        <v>18</v>
      </c>
      <c r="G17" s="24">
        <v>1</v>
      </c>
      <c r="H17" s="21" t="s">
        <v>10</v>
      </c>
      <c r="I17" s="25">
        <v>45708</v>
      </c>
      <c r="J17" s="25">
        <v>45712</v>
      </c>
    </row>
    <row r="18" spans="1:10">
      <c r="A18" s="21" t="s">
        <v>115</v>
      </c>
      <c r="B18" s="21" t="s">
        <v>116</v>
      </c>
      <c r="C18" s="21">
        <v>0</v>
      </c>
      <c r="D18" s="21" t="s">
        <v>17</v>
      </c>
      <c r="E18" s="22" t="s">
        <v>117</v>
      </c>
      <c r="F18" s="23" t="s">
        <v>18</v>
      </c>
      <c r="G18" s="24">
        <v>1</v>
      </c>
      <c r="H18" s="21">
        <v>1</v>
      </c>
      <c r="I18" s="25">
        <v>45713</v>
      </c>
      <c r="J18" s="25">
        <f>(((I18+H18)-1))+(H18-(NETWORKDAYS(I18,((I18+H18)-1))))</f>
        <v>45713</v>
      </c>
    </row>
    <row r="19" spans="1:10" ht="28">
      <c r="A19" s="21" t="s">
        <v>115</v>
      </c>
      <c r="B19" s="21" t="s">
        <v>116</v>
      </c>
      <c r="C19" s="21">
        <v>0</v>
      </c>
      <c r="D19" s="21" t="s">
        <v>17</v>
      </c>
      <c r="E19" s="45" t="s">
        <v>121</v>
      </c>
      <c r="F19" s="46" t="s">
        <v>122</v>
      </c>
      <c r="G19" s="24">
        <v>1</v>
      </c>
      <c r="H19" s="21">
        <v>3</v>
      </c>
      <c r="I19" s="25">
        <f>J18+1</f>
        <v>45714</v>
      </c>
      <c r="J19" s="25">
        <f>(((I19+H19)-1))+(H19-(NETWORKDAYS(I19,((I19+H19)-1))))</f>
        <v>45716</v>
      </c>
    </row>
    <row r="20" spans="1:10" ht="42">
      <c r="A20" s="21" t="s">
        <v>115</v>
      </c>
      <c r="B20" s="21" t="s">
        <v>116</v>
      </c>
      <c r="C20" s="21">
        <v>0</v>
      </c>
      <c r="D20" s="21" t="s">
        <v>17</v>
      </c>
      <c r="E20" s="22" t="s">
        <v>118</v>
      </c>
      <c r="F20" s="48" t="s">
        <v>146</v>
      </c>
      <c r="G20" s="24">
        <v>1</v>
      </c>
      <c r="H20" s="21">
        <v>2</v>
      </c>
      <c r="I20" s="25">
        <v>45719</v>
      </c>
      <c r="J20" s="25">
        <f>(((I20+H20)-1))+(H20-(NETWORKDAYS(I20,((I20+H20)-1))))</f>
        <v>45720</v>
      </c>
    </row>
    <row r="21" spans="1:10" ht="42">
      <c r="A21" s="21" t="s">
        <v>78</v>
      </c>
      <c r="B21" s="21" t="s">
        <v>79</v>
      </c>
      <c r="C21" s="21">
        <v>0</v>
      </c>
      <c r="D21" s="21" t="s">
        <v>17</v>
      </c>
      <c r="E21" s="22" t="s">
        <v>93</v>
      </c>
      <c r="F21" s="23" t="s">
        <v>18</v>
      </c>
      <c r="G21" s="24">
        <v>1</v>
      </c>
      <c r="H21" s="21">
        <v>2</v>
      </c>
      <c r="I21" s="25">
        <f>J20+1</f>
        <v>45721</v>
      </c>
      <c r="J21" s="25">
        <f>(((I21+H21)-1))+(H21-(NETWORKDAYS(I21,((I21+H21)-1))))</f>
        <v>45722</v>
      </c>
    </row>
    <row r="22" spans="1:10" ht="42">
      <c r="A22" s="21" t="s">
        <v>78</v>
      </c>
      <c r="B22" s="21" t="s">
        <v>79</v>
      </c>
      <c r="C22" s="21">
        <v>0</v>
      </c>
      <c r="D22" s="21" t="s">
        <v>17</v>
      </c>
      <c r="E22" s="22" t="s">
        <v>94</v>
      </c>
      <c r="F22" s="23" t="s">
        <v>18</v>
      </c>
      <c r="G22" s="24">
        <v>1</v>
      </c>
      <c r="H22" s="21">
        <v>2</v>
      </c>
      <c r="I22" s="25">
        <v>45723</v>
      </c>
      <c r="J22" s="25">
        <v>45726</v>
      </c>
    </row>
    <row r="23" spans="1:10" ht="28">
      <c r="A23" s="21" t="s">
        <v>72</v>
      </c>
      <c r="B23" s="21" t="s">
        <v>73</v>
      </c>
      <c r="C23" s="21">
        <v>0</v>
      </c>
      <c r="D23" s="21" t="s">
        <v>17</v>
      </c>
      <c r="E23" s="22" t="s">
        <v>148</v>
      </c>
      <c r="F23" s="54" t="s">
        <v>149</v>
      </c>
      <c r="G23" s="24">
        <v>1</v>
      </c>
      <c r="H23" s="21">
        <v>2</v>
      </c>
      <c r="I23" s="25">
        <v>45727</v>
      </c>
      <c r="J23" s="25">
        <v>45728</v>
      </c>
    </row>
    <row r="24" spans="1:10" ht="28">
      <c r="A24" s="21" t="s">
        <v>78</v>
      </c>
      <c r="B24" s="21" t="s">
        <v>79</v>
      </c>
      <c r="C24" s="21">
        <v>1</v>
      </c>
      <c r="D24" s="21" t="s">
        <v>17</v>
      </c>
      <c r="E24" s="22" t="s">
        <v>95</v>
      </c>
      <c r="F24" s="54" t="s">
        <v>200</v>
      </c>
      <c r="G24" s="24">
        <v>1</v>
      </c>
      <c r="H24" s="21">
        <v>2</v>
      </c>
      <c r="I24" s="25">
        <v>45727</v>
      </c>
      <c r="J24" s="25"/>
    </row>
    <row r="25" spans="1:10" ht="28">
      <c r="A25" s="21" t="s">
        <v>78</v>
      </c>
      <c r="B25" s="21" t="s">
        <v>79</v>
      </c>
      <c r="C25" s="21">
        <v>1</v>
      </c>
      <c r="D25" s="21" t="s">
        <v>17</v>
      </c>
      <c r="E25" s="22" t="s">
        <v>119</v>
      </c>
      <c r="F25" s="23" t="s">
        <v>218</v>
      </c>
      <c r="G25" s="24">
        <v>1</v>
      </c>
      <c r="H25" s="21">
        <v>2</v>
      </c>
      <c r="I25" s="25">
        <v>45729</v>
      </c>
      <c r="J25" s="25"/>
    </row>
    <row r="26" spans="1:10" ht="28">
      <c r="A26" s="21" t="s">
        <v>78</v>
      </c>
      <c r="B26" s="21" t="s">
        <v>79</v>
      </c>
      <c r="C26" s="21">
        <v>2</v>
      </c>
      <c r="D26" s="21" t="s">
        <v>17</v>
      </c>
      <c r="E26" s="22" t="s">
        <v>120</v>
      </c>
      <c r="F26" s="23" t="s">
        <v>218</v>
      </c>
      <c r="G26" s="24">
        <v>1</v>
      </c>
      <c r="H26" s="21">
        <v>10</v>
      </c>
      <c r="I26" s="25">
        <v>45732</v>
      </c>
      <c r="J26" s="25">
        <v>45744</v>
      </c>
    </row>
    <row r="27" spans="1:10" ht="28">
      <c r="A27" s="21" t="s">
        <v>72</v>
      </c>
      <c r="B27" s="21" t="s">
        <v>73</v>
      </c>
      <c r="C27" s="21">
        <v>0</v>
      </c>
      <c r="D27" s="21" t="s">
        <v>17</v>
      </c>
      <c r="E27" s="22" t="s">
        <v>148</v>
      </c>
      <c r="F27" s="54" t="s">
        <v>149</v>
      </c>
      <c r="G27" s="24">
        <v>1</v>
      </c>
      <c r="H27" s="21">
        <v>2</v>
      </c>
      <c r="I27" s="25">
        <v>45750</v>
      </c>
      <c r="J27" s="25">
        <v>45751</v>
      </c>
    </row>
    <row r="28" spans="1:10" ht="28">
      <c r="A28" s="21" t="s">
        <v>78</v>
      </c>
      <c r="B28" s="21" t="s">
        <v>79</v>
      </c>
      <c r="C28" s="21">
        <v>2</v>
      </c>
      <c r="D28" s="21" t="s">
        <v>17</v>
      </c>
      <c r="E28" s="22" t="s">
        <v>205</v>
      </c>
      <c r="F28" s="23" t="s">
        <v>218</v>
      </c>
      <c r="G28" s="24">
        <v>1</v>
      </c>
      <c r="H28" s="21">
        <v>4</v>
      </c>
      <c r="I28" s="25">
        <v>45754</v>
      </c>
      <c r="J28" s="25">
        <v>45757</v>
      </c>
    </row>
    <row r="29" spans="1:10" ht="28">
      <c r="A29" s="21" t="s">
        <v>78</v>
      </c>
      <c r="B29" s="21" t="s">
        <v>79</v>
      </c>
      <c r="C29" s="21">
        <v>2</v>
      </c>
      <c r="D29" s="21" t="s">
        <v>17</v>
      </c>
      <c r="E29" s="22" t="s">
        <v>120</v>
      </c>
      <c r="F29" s="23" t="s">
        <v>218</v>
      </c>
      <c r="G29" s="24">
        <v>1</v>
      </c>
      <c r="H29" s="21">
        <v>4</v>
      </c>
      <c r="I29" s="25">
        <v>45758</v>
      </c>
      <c r="J29" s="25">
        <v>45763</v>
      </c>
    </row>
    <row r="31" spans="1:10" ht="28">
      <c r="A31" s="21" t="s">
        <v>72</v>
      </c>
      <c r="B31" s="21" t="s">
        <v>73</v>
      </c>
      <c r="C31" s="21">
        <v>0</v>
      </c>
      <c r="D31" s="21" t="s">
        <v>17</v>
      </c>
      <c r="E31" s="22" t="s">
        <v>248</v>
      </c>
      <c r="F31" s="54" t="s">
        <v>149</v>
      </c>
      <c r="G31" s="24">
        <v>1</v>
      </c>
      <c r="H31" s="21">
        <v>2</v>
      </c>
      <c r="I31" s="25">
        <v>45750</v>
      </c>
      <c r="J31" s="25">
        <v>45751</v>
      </c>
    </row>
    <row r="32" spans="1:10" ht="142.5" customHeight="1">
      <c r="A32" s="21" t="s">
        <v>249</v>
      </c>
      <c r="B32" s="21" t="s">
        <v>79</v>
      </c>
      <c r="C32" s="21">
        <v>0</v>
      </c>
      <c r="D32" s="21" t="s">
        <v>17</v>
      </c>
      <c r="E32" s="22" t="s">
        <v>250</v>
      </c>
      <c r="F32" s="190" t="s">
        <v>315</v>
      </c>
      <c r="G32" s="24">
        <v>1</v>
      </c>
      <c r="H32" s="21">
        <v>4</v>
      </c>
      <c r="I32" s="25">
        <v>45790</v>
      </c>
      <c r="J32" s="25">
        <v>45793</v>
      </c>
    </row>
    <row r="33" spans="1:10" ht="28">
      <c r="A33" s="21" t="s">
        <v>249</v>
      </c>
      <c r="B33" s="21" t="s">
        <v>79</v>
      </c>
      <c r="C33" s="21">
        <v>0</v>
      </c>
      <c r="D33" s="21" t="s">
        <v>17</v>
      </c>
      <c r="E33" s="111" t="s">
        <v>258</v>
      </c>
      <c r="F33" s="190"/>
      <c r="G33" s="24">
        <v>1</v>
      </c>
      <c r="H33" s="21">
        <v>4</v>
      </c>
      <c r="I33" s="25">
        <v>45796</v>
      </c>
      <c r="J33" s="25">
        <v>45799</v>
      </c>
    </row>
    <row r="34" spans="1:10">
      <c r="A34" s="21" t="s">
        <v>249</v>
      </c>
      <c r="B34" s="109" t="s">
        <v>316</v>
      </c>
      <c r="C34" s="21">
        <v>0</v>
      </c>
      <c r="D34" s="21" t="s">
        <v>17</v>
      </c>
      <c r="E34" s="109" t="s">
        <v>250</v>
      </c>
      <c r="F34" s="110"/>
      <c r="G34" s="24">
        <v>1</v>
      </c>
      <c r="H34" s="145"/>
      <c r="I34" s="25">
        <v>45799</v>
      </c>
      <c r="J34" s="25">
        <v>45807</v>
      </c>
    </row>
    <row r="35" spans="1:10" ht="43.5">
      <c r="A35" s="21" t="s">
        <v>249</v>
      </c>
      <c r="B35" s="109" t="s">
        <v>316</v>
      </c>
      <c r="C35" s="21">
        <v>0</v>
      </c>
      <c r="D35" s="21" t="s">
        <v>17</v>
      </c>
      <c r="E35" s="109" t="s">
        <v>318</v>
      </c>
      <c r="F35" s="109" t="s">
        <v>317</v>
      </c>
      <c r="G35" s="24">
        <v>1</v>
      </c>
      <c r="H35" s="145">
        <v>1</v>
      </c>
      <c r="I35" s="25">
        <v>45810</v>
      </c>
      <c r="J35" s="25">
        <v>45810</v>
      </c>
    </row>
    <row r="36" spans="1:10">
      <c r="A36" s="21" t="s">
        <v>249</v>
      </c>
      <c r="B36" s="109" t="s">
        <v>316</v>
      </c>
      <c r="C36" s="110">
        <v>1</v>
      </c>
      <c r="D36" s="21" t="s">
        <v>17</v>
      </c>
      <c r="E36" s="109" t="s">
        <v>364</v>
      </c>
      <c r="F36" s="110"/>
      <c r="G36" s="123">
        <v>1</v>
      </c>
      <c r="H36" s="145">
        <v>4</v>
      </c>
      <c r="I36" s="25">
        <v>45810</v>
      </c>
      <c r="J36" s="25">
        <v>45813</v>
      </c>
    </row>
    <row r="37" spans="1:10">
      <c r="A37" s="21" t="s">
        <v>249</v>
      </c>
      <c r="B37" s="109" t="s">
        <v>316</v>
      </c>
      <c r="C37" s="110">
        <v>1</v>
      </c>
      <c r="D37" s="21" t="s">
        <v>17</v>
      </c>
      <c r="E37" s="109" t="s">
        <v>363</v>
      </c>
      <c r="F37" s="110"/>
      <c r="G37" s="123">
        <v>1</v>
      </c>
      <c r="H37" s="145">
        <v>1</v>
      </c>
      <c r="I37" s="25">
        <v>45814</v>
      </c>
      <c r="J37" s="25">
        <v>45814</v>
      </c>
    </row>
    <row r="38" spans="1:10" ht="43.5">
      <c r="A38" s="21" t="s">
        <v>346</v>
      </c>
      <c r="B38" s="109" t="s">
        <v>316</v>
      </c>
      <c r="C38" s="110">
        <v>1</v>
      </c>
      <c r="D38" s="21" t="s">
        <v>53</v>
      </c>
      <c r="E38" s="109" t="s">
        <v>365</v>
      </c>
      <c r="F38" s="109" t="s">
        <v>398</v>
      </c>
      <c r="G38" s="123">
        <v>1</v>
      </c>
      <c r="H38" s="145">
        <v>1</v>
      </c>
      <c r="I38" s="25">
        <v>45817</v>
      </c>
      <c r="J38" s="25">
        <v>45825</v>
      </c>
    </row>
    <row r="39" spans="1:10" ht="43.5">
      <c r="A39" s="21" t="s">
        <v>399</v>
      </c>
      <c r="B39" s="110"/>
      <c r="C39" s="110"/>
      <c r="D39" s="21" t="s">
        <v>17</v>
      </c>
      <c r="E39" s="109"/>
      <c r="F39" s="109" t="s">
        <v>414</v>
      </c>
      <c r="G39" s="123">
        <v>1</v>
      </c>
      <c r="H39" s="145"/>
      <c r="I39" s="25">
        <v>45793</v>
      </c>
      <c r="J39" s="25">
        <v>45827</v>
      </c>
    </row>
    <row r="40" spans="1:10" ht="43.5">
      <c r="A40" s="21" t="s">
        <v>399</v>
      </c>
      <c r="B40" s="110"/>
      <c r="C40" s="110"/>
      <c r="D40" s="21" t="s">
        <v>17</v>
      </c>
      <c r="E40" s="109"/>
      <c r="F40" s="128" t="s">
        <v>418</v>
      </c>
      <c r="G40" s="123">
        <v>1</v>
      </c>
      <c r="H40" s="145"/>
      <c r="I40" s="25">
        <v>45838</v>
      </c>
      <c r="J40" s="25">
        <v>45838</v>
      </c>
    </row>
    <row r="41" spans="1:10" ht="43.5">
      <c r="A41" s="21" t="s">
        <v>400</v>
      </c>
      <c r="B41" s="110"/>
      <c r="C41" s="110"/>
      <c r="D41" s="21" t="s">
        <v>17</v>
      </c>
      <c r="E41" s="109"/>
      <c r="F41" s="109" t="s">
        <v>412</v>
      </c>
      <c r="G41" s="123">
        <v>1</v>
      </c>
      <c r="H41" s="145"/>
      <c r="I41" s="25">
        <v>45818</v>
      </c>
      <c r="J41" s="110"/>
    </row>
    <row r="42" spans="1:10" ht="42">
      <c r="A42" s="21" t="s">
        <v>413</v>
      </c>
      <c r="B42" s="145"/>
      <c r="C42" s="145"/>
      <c r="D42" s="21" t="s">
        <v>17</v>
      </c>
      <c r="E42" s="146"/>
      <c r="F42" s="146" t="s">
        <v>431</v>
      </c>
      <c r="G42" s="123">
        <v>1</v>
      </c>
      <c r="H42" s="145"/>
      <c r="I42" s="25">
        <v>45841</v>
      </c>
      <c r="J42" s="25"/>
    </row>
    <row r="43" spans="1:10" ht="28">
      <c r="A43" s="21" t="s">
        <v>441</v>
      </c>
      <c r="B43" s="147" t="s">
        <v>73</v>
      </c>
      <c r="C43" s="21">
        <v>1</v>
      </c>
      <c r="D43" s="21" t="s">
        <v>53</v>
      </c>
      <c r="E43" s="22" t="s">
        <v>458</v>
      </c>
      <c r="F43" s="23" t="s">
        <v>75</v>
      </c>
      <c r="G43" s="148">
        <v>1</v>
      </c>
      <c r="H43" s="21" t="s">
        <v>4</v>
      </c>
      <c r="I43" s="25">
        <v>45483</v>
      </c>
      <c r="J43" s="25">
        <v>45487</v>
      </c>
    </row>
    <row r="45" spans="1:10" ht="29">
      <c r="A45" s="191" t="s">
        <v>443</v>
      </c>
      <c r="B45" s="110" t="s">
        <v>456</v>
      </c>
      <c r="C45" s="110"/>
      <c r="D45" s="21" t="s">
        <v>17</v>
      </c>
      <c r="E45" s="109" t="s">
        <v>442</v>
      </c>
      <c r="F45" s="110"/>
      <c r="G45" s="148">
        <v>1</v>
      </c>
      <c r="H45" s="145">
        <v>2</v>
      </c>
      <c r="I45" s="25">
        <v>45490</v>
      </c>
      <c r="J45" s="25">
        <v>45491</v>
      </c>
    </row>
    <row r="46" spans="1:10">
      <c r="A46" s="192"/>
      <c r="B46" s="110" t="s">
        <v>457</v>
      </c>
      <c r="C46" s="110"/>
      <c r="D46" s="21" t="s">
        <v>17</v>
      </c>
      <c r="E46" s="109" t="s">
        <v>444</v>
      </c>
      <c r="F46" s="110"/>
      <c r="G46" s="148">
        <v>1</v>
      </c>
      <c r="H46" s="145">
        <v>1</v>
      </c>
      <c r="I46" s="25">
        <v>45525</v>
      </c>
      <c r="J46" s="25">
        <v>45525</v>
      </c>
    </row>
    <row r="47" spans="1:10">
      <c r="A47" s="192"/>
      <c r="B47" s="110" t="s">
        <v>457</v>
      </c>
      <c r="C47" s="110"/>
      <c r="D47" s="21" t="s">
        <v>17</v>
      </c>
      <c r="E47" s="109" t="s">
        <v>445</v>
      </c>
      <c r="F47" s="110"/>
      <c r="G47" s="148">
        <v>1</v>
      </c>
      <c r="H47" s="145">
        <v>1</v>
      </c>
      <c r="I47" s="25">
        <v>45526</v>
      </c>
      <c r="J47" s="25">
        <v>45526</v>
      </c>
    </row>
    <row r="48" spans="1:10" ht="29">
      <c r="A48" s="192"/>
      <c r="B48" s="110" t="s">
        <v>457</v>
      </c>
      <c r="C48" s="110"/>
      <c r="D48" s="21" t="s">
        <v>17</v>
      </c>
      <c r="E48" s="109" t="s">
        <v>446</v>
      </c>
      <c r="F48" s="110"/>
      <c r="G48" s="148">
        <v>1</v>
      </c>
      <c r="H48" s="145">
        <v>1</v>
      </c>
      <c r="I48" s="25">
        <v>45527</v>
      </c>
      <c r="J48" s="25">
        <v>45527</v>
      </c>
    </row>
    <row r="49" spans="1:10">
      <c r="A49" s="192"/>
      <c r="B49" s="110" t="s">
        <v>457</v>
      </c>
      <c r="C49" s="110"/>
      <c r="D49" s="21" t="s">
        <v>17</v>
      </c>
      <c r="E49" s="109" t="s">
        <v>447</v>
      </c>
      <c r="F49" s="110"/>
      <c r="G49" s="148">
        <v>1</v>
      </c>
      <c r="H49" s="145">
        <v>1</v>
      </c>
      <c r="I49" s="25">
        <v>45528</v>
      </c>
      <c r="J49" s="25">
        <v>45528</v>
      </c>
    </row>
    <row r="50" spans="1:10">
      <c r="A50" s="192"/>
      <c r="B50" s="110" t="s">
        <v>457</v>
      </c>
      <c r="C50" s="110"/>
      <c r="D50" s="21" t="s">
        <v>17</v>
      </c>
      <c r="E50" s="109" t="s">
        <v>448</v>
      </c>
      <c r="F50" s="110"/>
      <c r="G50" s="148">
        <v>1</v>
      </c>
      <c r="H50" s="145">
        <v>1</v>
      </c>
      <c r="I50" s="25">
        <v>45529</v>
      </c>
      <c r="J50" s="25">
        <v>45529</v>
      </c>
    </row>
    <row r="51" spans="1:10" ht="29">
      <c r="A51" s="192"/>
      <c r="B51" s="110" t="s">
        <v>457</v>
      </c>
      <c r="C51" s="110"/>
      <c r="D51" s="21" t="s">
        <v>17</v>
      </c>
      <c r="E51" s="109" t="s">
        <v>449</v>
      </c>
      <c r="F51" s="110"/>
      <c r="G51" s="148">
        <v>1</v>
      </c>
      <c r="H51" s="145">
        <v>1</v>
      </c>
      <c r="I51" s="25">
        <v>45532</v>
      </c>
      <c r="J51" s="25">
        <v>45532</v>
      </c>
    </row>
    <row r="52" spans="1:10">
      <c r="A52" s="192"/>
      <c r="B52" s="110" t="s">
        <v>55</v>
      </c>
      <c r="C52" s="110"/>
      <c r="D52" s="21" t="s">
        <v>17</v>
      </c>
      <c r="E52" s="109" t="s">
        <v>450</v>
      </c>
      <c r="F52" s="110"/>
      <c r="G52" s="148">
        <v>1</v>
      </c>
      <c r="H52" s="145">
        <v>1</v>
      </c>
      <c r="I52" s="25">
        <v>45533</v>
      </c>
      <c r="J52" s="25">
        <v>45533</v>
      </c>
    </row>
    <row r="53" spans="1:10">
      <c r="A53" s="192"/>
      <c r="B53" s="110" t="s">
        <v>55</v>
      </c>
      <c r="C53" s="110"/>
      <c r="D53" s="21" t="s">
        <v>17</v>
      </c>
      <c r="E53" s="109" t="s">
        <v>451</v>
      </c>
      <c r="F53" s="110"/>
      <c r="G53" s="148">
        <v>1</v>
      </c>
      <c r="H53" s="145">
        <v>1</v>
      </c>
      <c r="I53" s="25">
        <v>45533</v>
      </c>
      <c r="J53" s="25">
        <v>45533</v>
      </c>
    </row>
    <row r="54" spans="1:10" ht="29">
      <c r="A54" s="192"/>
      <c r="B54" s="110" t="s">
        <v>55</v>
      </c>
      <c r="C54" s="110"/>
      <c r="D54" s="21" t="s">
        <v>17</v>
      </c>
      <c r="E54" s="109" t="s">
        <v>452</v>
      </c>
      <c r="F54" s="110"/>
      <c r="G54" s="148">
        <v>1</v>
      </c>
      <c r="H54" s="145">
        <v>1</v>
      </c>
      <c r="I54" s="25">
        <v>45533</v>
      </c>
      <c r="J54" s="25">
        <v>45533</v>
      </c>
    </row>
    <row r="55" spans="1:10">
      <c r="A55" s="192"/>
      <c r="B55" s="110" t="s">
        <v>55</v>
      </c>
      <c r="C55" s="110"/>
      <c r="D55" s="21" t="s">
        <v>17</v>
      </c>
      <c r="E55" s="109" t="s">
        <v>454</v>
      </c>
      <c r="F55" s="110"/>
      <c r="G55" s="148">
        <v>1</v>
      </c>
      <c r="H55" s="145">
        <v>1</v>
      </c>
      <c r="I55" s="25">
        <v>45533</v>
      </c>
      <c r="J55" s="25">
        <v>45533</v>
      </c>
    </row>
    <row r="56" spans="1:10" ht="29">
      <c r="A56" s="192"/>
      <c r="B56" s="110" t="s">
        <v>55</v>
      </c>
      <c r="C56" s="110"/>
      <c r="D56" s="21"/>
      <c r="E56" s="109" t="s">
        <v>453</v>
      </c>
      <c r="F56" s="110" t="s">
        <v>473</v>
      </c>
      <c r="G56" s="148">
        <v>1</v>
      </c>
      <c r="H56" s="145">
        <v>1</v>
      </c>
      <c r="I56" s="25">
        <v>45533</v>
      </c>
      <c r="J56" s="25">
        <v>45504</v>
      </c>
    </row>
    <row r="57" spans="1:10" ht="29">
      <c r="A57" s="193"/>
      <c r="B57" s="110" t="s">
        <v>55</v>
      </c>
      <c r="C57" s="110"/>
      <c r="D57" s="21" t="s">
        <v>17</v>
      </c>
      <c r="E57" s="109" t="s">
        <v>455</v>
      </c>
      <c r="F57" s="110"/>
      <c r="G57" s="148">
        <v>1</v>
      </c>
      <c r="H57" s="145">
        <v>1</v>
      </c>
      <c r="I57" s="25">
        <v>45533</v>
      </c>
      <c r="J57" s="25">
        <v>45533</v>
      </c>
    </row>
    <row r="58" spans="1:10" ht="43.5">
      <c r="A58" s="21" t="s">
        <v>471</v>
      </c>
      <c r="B58" s="21" t="s">
        <v>406</v>
      </c>
      <c r="C58" s="21">
        <v>0</v>
      </c>
      <c r="D58" s="21" t="s">
        <v>17</v>
      </c>
      <c r="E58" s="109"/>
      <c r="F58" s="109" t="s">
        <v>497</v>
      </c>
      <c r="G58" s="148">
        <v>1</v>
      </c>
      <c r="H58" s="145">
        <v>1</v>
      </c>
      <c r="I58" s="25">
        <v>45504</v>
      </c>
      <c r="J58" s="25">
        <v>45504</v>
      </c>
    </row>
    <row r="59" spans="1:10" ht="28">
      <c r="A59" s="21" t="s">
        <v>496</v>
      </c>
      <c r="B59" s="147" t="s">
        <v>73</v>
      </c>
      <c r="C59" s="21">
        <v>1</v>
      </c>
      <c r="D59" s="21" t="s">
        <v>17</v>
      </c>
      <c r="E59" s="22"/>
      <c r="F59" s="23" t="s">
        <v>75</v>
      </c>
      <c r="G59" s="148">
        <v>1</v>
      </c>
      <c r="H59" s="21">
        <v>1</v>
      </c>
      <c r="I59" s="25">
        <v>45518</v>
      </c>
      <c r="J59" s="25">
        <v>45519</v>
      </c>
    </row>
    <row r="60" spans="1:10" ht="42">
      <c r="A60" s="21" t="s">
        <v>498</v>
      </c>
      <c r="B60" s="21" t="s">
        <v>406</v>
      </c>
      <c r="C60" s="21">
        <v>0</v>
      </c>
      <c r="D60" s="21" t="s">
        <v>17</v>
      </c>
      <c r="E60" s="22" t="s">
        <v>472</v>
      </c>
      <c r="F60" s="23" t="s">
        <v>502</v>
      </c>
      <c r="G60" s="148">
        <v>1</v>
      </c>
      <c r="H60" s="21">
        <v>3</v>
      </c>
      <c r="I60" s="25">
        <v>45504</v>
      </c>
      <c r="J60" s="25">
        <v>45540</v>
      </c>
    </row>
    <row r="61" spans="1:10" ht="56">
      <c r="A61" s="21" t="s">
        <v>499</v>
      </c>
      <c r="B61" s="21" t="s">
        <v>406</v>
      </c>
      <c r="C61" s="21">
        <v>0</v>
      </c>
      <c r="D61" s="21"/>
      <c r="E61" s="109"/>
      <c r="F61" s="109"/>
      <c r="G61" s="148">
        <v>1</v>
      </c>
      <c r="H61" s="21">
        <v>1</v>
      </c>
      <c r="I61" s="25">
        <v>45525</v>
      </c>
      <c r="J61" s="25">
        <v>45525</v>
      </c>
    </row>
    <row r="62" spans="1:10" ht="29">
      <c r="A62" s="21" t="s">
        <v>508</v>
      </c>
      <c r="B62" s="21" t="s">
        <v>509</v>
      </c>
      <c r="C62" s="21"/>
      <c r="D62" s="21" t="s">
        <v>17</v>
      </c>
      <c r="E62" s="109" t="s">
        <v>510</v>
      </c>
      <c r="F62" s="109"/>
      <c r="G62" s="148">
        <v>1</v>
      </c>
      <c r="H62" s="21">
        <v>5</v>
      </c>
      <c r="I62" s="25">
        <v>45536</v>
      </c>
      <c r="J62" s="25">
        <v>45540</v>
      </c>
    </row>
    <row r="63" spans="1:10" ht="28">
      <c r="A63" s="21" t="s">
        <v>507</v>
      </c>
      <c r="B63" s="147" t="s">
        <v>73</v>
      </c>
      <c r="C63" s="21">
        <v>1</v>
      </c>
      <c r="D63" s="21" t="s">
        <v>17</v>
      </c>
      <c r="E63" s="22"/>
      <c r="F63" s="23" t="s">
        <v>75</v>
      </c>
      <c r="G63" s="148">
        <v>1</v>
      </c>
      <c r="H63" s="21">
        <v>1</v>
      </c>
      <c r="I63" s="25">
        <v>45546</v>
      </c>
      <c r="J63" s="25">
        <v>45546</v>
      </c>
    </row>
    <row r="64" spans="1:10" ht="42">
      <c r="A64" s="21" t="s">
        <v>512</v>
      </c>
      <c r="B64" s="132" t="s">
        <v>406</v>
      </c>
      <c r="C64" s="21"/>
      <c r="D64" s="21"/>
      <c r="E64" s="22" t="s">
        <v>513</v>
      </c>
      <c r="F64" s="23"/>
      <c r="G64" s="148">
        <v>1</v>
      </c>
      <c r="H64" s="21"/>
      <c r="I64" s="25">
        <v>45547</v>
      </c>
      <c r="J64" s="25">
        <v>45553</v>
      </c>
    </row>
    <row r="65" spans="1:10" ht="28">
      <c r="A65" s="21" t="s">
        <v>529</v>
      </c>
      <c r="B65" s="132" t="s">
        <v>406</v>
      </c>
      <c r="C65" s="21">
        <v>0</v>
      </c>
      <c r="D65" s="21" t="s">
        <v>17</v>
      </c>
      <c r="E65" s="22"/>
      <c r="F65" s="23" t="s">
        <v>530</v>
      </c>
      <c r="G65" s="148">
        <v>1</v>
      </c>
      <c r="H65" s="21"/>
      <c r="I65" s="25">
        <v>45560</v>
      </c>
      <c r="J65" s="25">
        <v>45561</v>
      </c>
    </row>
    <row r="66" spans="1:10">
      <c r="A66" s="21" t="s">
        <v>531</v>
      </c>
      <c r="B66" s="132" t="s">
        <v>406</v>
      </c>
      <c r="C66" s="21">
        <v>0</v>
      </c>
      <c r="D66" s="21" t="s">
        <v>17</v>
      </c>
      <c r="E66" s="22"/>
      <c r="F66" s="23"/>
      <c r="G66" s="148">
        <v>1</v>
      </c>
      <c r="H66" s="21"/>
      <c r="I66" s="25">
        <v>45557</v>
      </c>
      <c r="J66" s="25">
        <v>45559</v>
      </c>
    </row>
    <row r="67" spans="1:10" ht="42">
      <c r="A67" s="132" t="s">
        <v>532</v>
      </c>
      <c r="B67" s="132" t="s">
        <v>406</v>
      </c>
      <c r="C67" s="132">
        <v>0</v>
      </c>
      <c r="D67" s="21" t="s">
        <v>17</v>
      </c>
      <c r="E67" s="132"/>
      <c r="F67" s="132"/>
      <c r="G67" s="164">
        <v>1</v>
      </c>
      <c r="H67" s="132"/>
      <c r="I67" s="25">
        <v>45559</v>
      </c>
      <c r="J67" s="25">
        <v>45566</v>
      </c>
    </row>
    <row r="68" spans="1:10" ht="28">
      <c r="A68" s="132" t="s">
        <v>533</v>
      </c>
      <c r="B68" s="132" t="s">
        <v>406</v>
      </c>
      <c r="C68" s="132">
        <v>0</v>
      </c>
      <c r="D68" s="21" t="s">
        <v>17</v>
      </c>
      <c r="E68" s="132"/>
      <c r="F68" s="132"/>
      <c r="G68" s="164">
        <v>1</v>
      </c>
      <c r="H68" s="132"/>
      <c r="I68" s="25">
        <v>45561</v>
      </c>
      <c r="J68" s="25">
        <v>45564</v>
      </c>
    </row>
    <row r="69" spans="1:10" ht="28">
      <c r="A69" s="132" t="s">
        <v>507</v>
      </c>
      <c r="B69" s="132" t="s">
        <v>73</v>
      </c>
      <c r="C69" s="132">
        <v>1</v>
      </c>
      <c r="D69" s="21" t="s">
        <v>324</v>
      </c>
      <c r="E69" s="132"/>
      <c r="F69" s="132" t="s">
        <v>75</v>
      </c>
      <c r="G69" s="164">
        <v>1</v>
      </c>
      <c r="H69" s="132">
        <v>1</v>
      </c>
      <c r="I69" s="25">
        <v>45546</v>
      </c>
      <c r="J69" s="25">
        <v>45547</v>
      </c>
    </row>
    <row r="70" spans="1:10" ht="42">
      <c r="A70" s="132" t="s">
        <v>508</v>
      </c>
      <c r="B70" s="132" t="s">
        <v>509</v>
      </c>
      <c r="C70" s="132"/>
      <c r="D70" s="21" t="s">
        <v>324</v>
      </c>
      <c r="E70" s="132" t="s">
        <v>510</v>
      </c>
      <c r="F70" s="132"/>
      <c r="G70" s="164">
        <v>1</v>
      </c>
      <c r="H70" s="132">
        <v>5</v>
      </c>
      <c r="I70" s="25">
        <v>45536</v>
      </c>
      <c r="J70" s="25">
        <v>45540</v>
      </c>
    </row>
    <row r="71" spans="1:10" ht="28">
      <c r="A71" s="132" t="s">
        <v>573</v>
      </c>
      <c r="B71" s="132" t="s">
        <v>73</v>
      </c>
      <c r="C71" s="132">
        <v>1</v>
      </c>
      <c r="D71" s="21" t="s">
        <v>324</v>
      </c>
      <c r="E71" s="132"/>
      <c r="F71" s="132" t="s">
        <v>75</v>
      </c>
      <c r="G71" s="164">
        <v>1</v>
      </c>
      <c r="H71" s="132">
        <v>1</v>
      </c>
      <c r="I71" s="25">
        <v>45574</v>
      </c>
      <c r="J71" s="25">
        <v>45578</v>
      </c>
    </row>
    <row r="72" spans="1:10" ht="29">
      <c r="A72" s="81" t="s">
        <v>563</v>
      </c>
      <c r="B72" s="175" t="s">
        <v>406</v>
      </c>
      <c r="C72" s="78">
        <v>0</v>
      </c>
      <c r="D72" s="78"/>
      <c r="E72" s="81"/>
      <c r="F72" s="78" t="s">
        <v>574</v>
      </c>
      <c r="G72" s="176">
        <v>0.9</v>
      </c>
      <c r="H72" s="173"/>
      <c r="I72" s="165">
        <v>45588</v>
      </c>
      <c r="J72" s="165">
        <v>45592</v>
      </c>
    </row>
    <row r="73" spans="1:10" ht="42">
      <c r="A73" s="112" t="s">
        <v>575</v>
      </c>
      <c r="B73" s="175" t="s">
        <v>406</v>
      </c>
      <c r="C73" s="78">
        <v>0</v>
      </c>
      <c r="D73" s="78"/>
      <c r="E73" s="81"/>
      <c r="F73" s="78"/>
      <c r="G73" s="176">
        <v>0.1</v>
      </c>
      <c r="H73" s="173"/>
      <c r="I73" s="165">
        <v>45593</v>
      </c>
      <c r="J73" s="165">
        <v>45596</v>
      </c>
    </row>
    <row r="74" spans="1:10" ht="28">
      <c r="A74" s="198" t="s">
        <v>583</v>
      </c>
      <c r="B74" s="197" t="s">
        <v>73</v>
      </c>
      <c r="C74" s="197">
        <v>0</v>
      </c>
      <c r="D74" s="199" t="s">
        <v>17</v>
      </c>
      <c r="E74" s="86" t="s">
        <v>18</v>
      </c>
      <c r="F74" s="197" t="s">
        <v>586</v>
      </c>
      <c r="G74" s="200">
        <v>1</v>
      </c>
      <c r="I74" s="201">
        <v>45964</v>
      </c>
      <c r="J74" s="201">
        <v>45964</v>
      </c>
    </row>
    <row r="75" spans="1:10" ht="28">
      <c r="A75" s="198" t="s">
        <v>584</v>
      </c>
      <c r="B75" s="197" t="s">
        <v>73</v>
      </c>
      <c r="C75" s="197">
        <v>0</v>
      </c>
      <c r="D75" s="199" t="s">
        <v>17</v>
      </c>
      <c r="E75" s="86" t="s">
        <v>18</v>
      </c>
      <c r="F75" s="197" t="s">
        <v>587</v>
      </c>
      <c r="G75" s="200">
        <v>1</v>
      </c>
      <c r="I75" s="201">
        <v>45961</v>
      </c>
      <c r="J75" s="201">
        <v>45961</v>
      </c>
    </row>
    <row r="76" spans="1:10" ht="28">
      <c r="A76" s="198" t="s">
        <v>585</v>
      </c>
      <c r="B76" s="197" t="s">
        <v>73</v>
      </c>
      <c r="C76" s="197">
        <v>0</v>
      </c>
      <c r="D76" s="199" t="s">
        <v>17</v>
      </c>
      <c r="E76" s="86" t="s">
        <v>18</v>
      </c>
      <c r="F76" s="197" t="s">
        <v>588</v>
      </c>
      <c r="G76" s="200">
        <v>1</v>
      </c>
      <c r="I76" s="201">
        <v>45965</v>
      </c>
      <c r="J76" s="201">
        <v>45965</v>
      </c>
    </row>
    <row r="77" spans="1:10" ht="42">
      <c r="A77" s="198" t="s">
        <v>589</v>
      </c>
      <c r="B77" s="197" t="s">
        <v>590</v>
      </c>
      <c r="C77" s="197">
        <v>1</v>
      </c>
      <c r="D77" s="199" t="s">
        <v>53</v>
      </c>
      <c r="F77" s="197" t="s">
        <v>591</v>
      </c>
      <c r="G77" s="200">
        <v>1</v>
      </c>
      <c r="I77" t="s">
        <v>592</v>
      </c>
      <c r="J77" s="201">
        <v>45964</v>
      </c>
    </row>
  </sheetData>
  <mergeCells count="2">
    <mergeCell ref="F32:F33"/>
    <mergeCell ref="A45:A5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'C:\Users\SAM\Downloads\[Alejandro Morales - Estado actual 26 02 2025.xlsx]Hoja2'!#REF!</xm:f>
          </x14:formula1>
          <xm:sqref>D2:D29 D31:D43 D45:D55 D63 D57:D61 D65:D68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topLeftCell="A29" zoomScale="84" zoomScaleNormal="70" workbookViewId="0">
      <selection activeCell="F49" sqref="F49"/>
    </sheetView>
  </sheetViews>
  <sheetFormatPr baseColWidth="10" defaultColWidth="11" defaultRowHeight="14"/>
  <cols>
    <col min="1" max="1" width="23.90625" style="115" customWidth="1"/>
    <col min="2" max="2" width="19.7265625" style="115" customWidth="1"/>
    <col min="3" max="3" width="19" style="115" customWidth="1"/>
    <col min="4" max="4" width="17.36328125" style="115" customWidth="1"/>
    <col min="5" max="5" width="17.6328125" style="115" customWidth="1"/>
    <col min="6" max="6" width="15.453125" style="115" customWidth="1"/>
    <col min="7" max="7" width="13.36328125" style="115" customWidth="1"/>
    <col min="8" max="8" width="75.7265625" style="114" customWidth="1"/>
    <col min="9" max="16384" width="11" style="114"/>
  </cols>
  <sheetData>
    <row r="1" spans="1:8" ht="14.5">
      <c r="A1" s="124" t="s">
        <v>289</v>
      </c>
      <c r="B1" s="124" t="s">
        <v>290</v>
      </c>
      <c r="C1" s="124" t="s">
        <v>291</v>
      </c>
      <c r="D1" s="124" t="s">
        <v>292</v>
      </c>
      <c r="E1" s="124" t="s">
        <v>293</v>
      </c>
      <c r="F1" s="124" t="s">
        <v>58</v>
      </c>
      <c r="G1" s="124" t="s">
        <v>71</v>
      </c>
      <c r="H1" s="125" t="s">
        <v>294</v>
      </c>
    </row>
    <row r="2" spans="1:8" ht="101.5">
      <c r="A2" t="s">
        <v>329</v>
      </c>
      <c r="B2" t="s">
        <v>330</v>
      </c>
      <c r="C2" t="s">
        <v>331</v>
      </c>
      <c r="D2" s="126">
        <v>45414</v>
      </c>
      <c r="E2" t="s">
        <v>332</v>
      </c>
      <c r="F2" s="126">
        <v>45414</v>
      </c>
      <c r="G2" s="126">
        <v>45657</v>
      </c>
      <c r="H2" s="127" t="s">
        <v>333</v>
      </c>
    </row>
    <row r="3" spans="1:8" ht="87">
      <c r="A3" t="s">
        <v>334</v>
      </c>
      <c r="B3" t="s">
        <v>330</v>
      </c>
      <c r="C3" t="s">
        <v>331</v>
      </c>
      <c r="D3" s="126">
        <v>45446</v>
      </c>
      <c r="E3" t="s">
        <v>332</v>
      </c>
      <c r="F3" s="126">
        <v>45446</v>
      </c>
      <c r="G3" s="126">
        <v>45657</v>
      </c>
      <c r="H3" s="127" t="s">
        <v>335</v>
      </c>
    </row>
    <row r="4" spans="1:8" ht="72.5">
      <c r="A4" t="s">
        <v>336</v>
      </c>
      <c r="B4" t="s">
        <v>330</v>
      </c>
      <c r="C4" t="s">
        <v>331</v>
      </c>
      <c r="D4" s="126">
        <v>45516</v>
      </c>
      <c r="E4" t="s">
        <v>332</v>
      </c>
      <c r="F4" s="126">
        <v>45516</v>
      </c>
      <c r="G4" s="126">
        <v>45657</v>
      </c>
      <c r="H4" s="127" t="s">
        <v>337</v>
      </c>
    </row>
    <row r="5" spans="1:8" ht="72.5">
      <c r="A5" t="s">
        <v>329</v>
      </c>
      <c r="B5" t="s">
        <v>330</v>
      </c>
      <c r="C5" t="s">
        <v>331</v>
      </c>
      <c r="D5" s="126">
        <v>45414</v>
      </c>
      <c r="E5" t="s">
        <v>332</v>
      </c>
      <c r="F5" s="126">
        <v>45659</v>
      </c>
      <c r="G5" s="126">
        <v>45737</v>
      </c>
      <c r="H5" s="127" t="s">
        <v>338</v>
      </c>
    </row>
    <row r="6" spans="1:8" ht="72.5">
      <c r="A6" t="s">
        <v>334</v>
      </c>
      <c r="B6" t="s">
        <v>330</v>
      </c>
      <c r="C6" t="s">
        <v>331</v>
      </c>
      <c r="D6" s="126">
        <v>45446</v>
      </c>
      <c r="E6" t="s">
        <v>332</v>
      </c>
      <c r="F6" s="126">
        <v>45642</v>
      </c>
      <c r="G6" s="126">
        <v>45702</v>
      </c>
      <c r="H6" s="127" t="s">
        <v>339</v>
      </c>
    </row>
    <row r="7" spans="1:8" ht="72.5">
      <c r="A7" t="s">
        <v>336</v>
      </c>
      <c r="B7" t="s">
        <v>330</v>
      </c>
      <c r="C7" t="s">
        <v>331</v>
      </c>
      <c r="D7" s="126">
        <v>45516</v>
      </c>
      <c r="E7" t="s">
        <v>332</v>
      </c>
      <c r="F7" s="126">
        <v>45659</v>
      </c>
      <c r="G7" s="126">
        <v>45737</v>
      </c>
      <c r="H7" s="127" t="s">
        <v>340</v>
      </c>
    </row>
    <row r="8" spans="1:8" ht="87">
      <c r="A8" t="s">
        <v>334</v>
      </c>
      <c r="B8" t="s">
        <v>330</v>
      </c>
      <c r="C8" t="s">
        <v>331</v>
      </c>
      <c r="D8" s="126">
        <v>45446</v>
      </c>
      <c r="E8" t="s">
        <v>332</v>
      </c>
      <c r="F8" s="126">
        <v>45659</v>
      </c>
      <c r="G8" s="126">
        <v>45737</v>
      </c>
      <c r="H8" s="127" t="s">
        <v>341</v>
      </c>
    </row>
    <row r="9" spans="1:8" ht="87">
      <c r="A9" t="s">
        <v>334</v>
      </c>
      <c r="B9" t="s">
        <v>330</v>
      </c>
      <c r="C9" t="s">
        <v>331</v>
      </c>
      <c r="D9" s="126">
        <v>45446</v>
      </c>
      <c r="E9" t="s">
        <v>332</v>
      </c>
      <c r="F9" s="126">
        <v>45698</v>
      </c>
      <c r="G9" s="126">
        <v>45772</v>
      </c>
      <c r="H9" s="127" t="s">
        <v>342</v>
      </c>
    </row>
    <row r="10" spans="1:8" ht="72.5">
      <c r="A10" t="s">
        <v>329</v>
      </c>
      <c r="B10" t="s">
        <v>330</v>
      </c>
      <c r="C10" t="s">
        <v>331</v>
      </c>
      <c r="D10" s="126">
        <v>45414</v>
      </c>
      <c r="E10" t="s">
        <v>343</v>
      </c>
      <c r="F10" s="126">
        <v>45740</v>
      </c>
      <c r="G10" s="126">
        <v>45821</v>
      </c>
      <c r="H10" s="127" t="s">
        <v>344</v>
      </c>
    </row>
    <row r="11" spans="1:8" ht="72.5">
      <c r="A11" t="s">
        <v>334</v>
      </c>
      <c r="B11" t="s">
        <v>330</v>
      </c>
      <c r="C11" t="s">
        <v>331</v>
      </c>
      <c r="D11" s="126">
        <v>45446</v>
      </c>
      <c r="E11" t="s">
        <v>332</v>
      </c>
      <c r="F11" s="126">
        <v>45768</v>
      </c>
      <c r="G11" s="126">
        <v>45835</v>
      </c>
      <c r="H11" s="127" t="s">
        <v>345</v>
      </c>
    </row>
    <row r="12" spans="1:8" ht="72.5">
      <c r="A12" t="s">
        <v>336</v>
      </c>
      <c r="B12" t="s">
        <v>330</v>
      </c>
      <c r="C12" t="s">
        <v>331</v>
      </c>
      <c r="D12" s="126">
        <v>45516</v>
      </c>
      <c r="E12" t="s">
        <v>332</v>
      </c>
      <c r="F12" s="126">
        <v>45768</v>
      </c>
      <c r="G12" s="126">
        <v>45835</v>
      </c>
      <c r="H12" s="127" t="s">
        <v>345</v>
      </c>
    </row>
    <row r="13" spans="1:8" ht="101.5">
      <c r="A13" t="s">
        <v>366</v>
      </c>
      <c r="B13" t="s">
        <v>367</v>
      </c>
      <c r="C13" t="s">
        <v>368</v>
      </c>
      <c r="D13" s="126">
        <v>45450</v>
      </c>
      <c r="E13" t="s">
        <v>332</v>
      </c>
      <c r="F13" s="126">
        <v>45450</v>
      </c>
      <c r="G13" s="126">
        <v>45657</v>
      </c>
      <c r="H13" s="127" t="s">
        <v>369</v>
      </c>
    </row>
    <row r="14" spans="1:8" ht="29">
      <c r="A14" t="s">
        <v>366</v>
      </c>
      <c r="B14" t="s">
        <v>367</v>
      </c>
      <c r="C14" t="s">
        <v>368</v>
      </c>
      <c r="D14" s="126">
        <v>45450</v>
      </c>
      <c r="E14" t="s">
        <v>332</v>
      </c>
      <c r="F14" s="126">
        <v>45659</v>
      </c>
      <c r="G14" s="126">
        <v>45695</v>
      </c>
      <c r="H14" s="127" t="s">
        <v>370</v>
      </c>
    </row>
    <row r="15" spans="1:8" ht="29">
      <c r="A15" t="s">
        <v>366</v>
      </c>
      <c r="B15" t="s">
        <v>367</v>
      </c>
      <c r="C15" t="s">
        <v>368</v>
      </c>
      <c r="D15" s="126">
        <v>45450</v>
      </c>
      <c r="E15" t="s">
        <v>332</v>
      </c>
      <c r="F15" s="126">
        <v>45698</v>
      </c>
      <c r="G15" s="126">
        <v>45716</v>
      </c>
      <c r="H15" s="127" t="s">
        <v>371</v>
      </c>
    </row>
    <row r="16" spans="1:8" ht="29">
      <c r="A16" t="s">
        <v>366</v>
      </c>
      <c r="B16" t="s">
        <v>367</v>
      </c>
      <c r="C16" t="s">
        <v>368</v>
      </c>
      <c r="D16" s="126">
        <v>45450</v>
      </c>
      <c r="E16" t="s">
        <v>332</v>
      </c>
      <c r="F16" s="126">
        <v>45719</v>
      </c>
      <c r="G16" s="126">
        <v>45737</v>
      </c>
      <c r="H16" s="127" t="s">
        <v>372</v>
      </c>
    </row>
    <row r="17" spans="1:8" ht="29">
      <c r="A17" t="s">
        <v>366</v>
      </c>
      <c r="B17" t="s">
        <v>367</v>
      </c>
      <c r="C17" t="s">
        <v>368</v>
      </c>
      <c r="D17" s="126">
        <v>45450</v>
      </c>
      <c r="E17" t="s">
        <v>332</v>
      </c>
      <c r="F17" s="126">
        <v>45796</v>
      </c>
      <c r="G17" s="126">
        <v>45814</v>
      </c>
      <c r="H17" s="127" t="s">
        <v>373</v>
      </c>
    </row>
    <row r="18" spans="1:8" ht="29">
      <c r="A18" t="s">
        <v>366</v>
      </c>
      <c r="B18" t="s">
        <v>367</v>
      </c>
      <c r="C18" t="s">
        <v>368</v>
      </c>
      <c r="D18" s="126">
        <v>45450</v>
      </c>
      <c r="E18" t="s">
        <v>332</v>
      </c>
      <c r="F18" s="126">
        <v>45817</v>
      </c>
      <c r="G18" s="126">
        <v>45835</v>
      </c>
      <c r="H18" s="127" t="s">
        <v>374</v>
      </c>
    </row>
    <row r="19" spans="1:8" ht="116">
      <c r="A19" t="s">
        <v>366</v>
      </c>
      <c r="B19" t="s">
        <v>367</v>
      </c>
      <c r="C19" t="s">
        <v>368</v>
      </c>
      <c r="D19" s="126">
        <v>45450</v>
      </c>
      <c r="E19" t="s">
        <v>343</v>
      </c>
      <c r="F19" s="126">
        <v>45450</v>
      </c>
      <c r="G19" s="126">
        <v>45657</v>
      </c>
      <c r="H19" s="127" t="s">
        <v>375</v>
      </c>
    </row>
    <row r="20" spans="1:8" ht="29">
      <c r="A20" t="s">
        <v>366</v>
      </c>
      <c r="B20" t="s">
        <v>367</v>
      </c>
      <c r="C20" t="s">
        <v>368</v>
      </c>
      <c r="D20" s="126">
        <v>45450</v>
      </c>
      <c r="E20" t="s">
        <v>343</v>
      </c>
      <c r="F20" s="126">
        <v>45649</v>
      </c>
      <c r="G20" s="126">
        <v>45667</v>
      </c>
      <c r="H20" s="127" t="s">
        <v>376</v>
      </c>
    </row>
    <row r="21" spans="1:8" ht="29">
      <c r="A21" t="s">
        <v>366</v>
      </c>
      <c r="B21" t="s">
        <v>367</v>
      </c>
      <c r="C21" t="s">
        <v>368</v>
      </c>
      <c r="D21" s="126">
        <v>45450</v>
      </c>
      <c r="E21" t="s">
        <v>343</v>
      </c>
      <c r="F21" s="126">
        <v>45726</v>
      </c>
      <c r="G21" s="126">
        <v>45737</v>
      </c>
      <c r="H21" s="127" t="s">
        <v>377</v>
      </c>
    </row>
    <row r="22" spans="1:8" ht="29">
      <c r="A22" t="s">
        <v>366</v>
      </c>
      <c r="B22" t="s">
        <v>367</v>
      </c>
      <c r="C22" t="s">
        <v>368</v>
      </c>
      <c r="D22" s="126">
        <v>45450</v>
      </c>
      <c r="E22" t="s">
        <v>343</v>
      </c>
      <c r="F22" s="126">
        <v>45824</v>
      </c>
      <c r="G22" s="126">
        <v>45835</v>
      </c>
      <c r="H22" s="127" t="s">
        <v>378</v>
      </c>
    </row>
    <row r="23" spans="1:8" ht="72.5">
      <c r="A23" t="s">
        <v>379</v>
      </c>
      <c r="B23" t="s">
        <v>330</v>
      </c>
      <c r="C23" t="s">
        <v>331</v>
      </c>
      <c r="D23" s="126">
        <v>45536</v>
      </c>
      <c r="E23" t="s">
        <v>343</v>
      </c>
      <c r="F23" s="126">
        <v>45537</v>
      </c>
      <c r="G23" s="126">
        <v>45657</v>
      </c>
      <c r="H23" s="127" t="s">
        <v>380</v>
      </c>
    </row>
    <row r="24" spans="1:8" ht="87">
      <c r="A24" t="s">
        <v>379</v>
      </c>
      <c r="B24" t="s">
        <v>330</v>
      </c>
      <c r="C24" t="s">
        <v>331</v>
      </c>
      <c r="D24" s="126">
        <v>45536</v>
      </c>
      <c r="E24" t="s">
        <v>343</v>
      </c>
      <c r="F24" s="126">
        <v>45659</v>
      </c>
      <c r="G24" s="126">
        <v>45751</v>
      </c>
      <c r="H24" s="127" t="s">
        <v>381</v>
      </c>
    </row>
    <row r="25" spans="1:8" ht="87">
      <c r="A25" t="s">
        <v>379</v>
      </c>
      <c r="B25" t="s">
        <v>330</v>
      </c>
      <c r="C25" t="s">
        <v>331</v>
      </c>
      <c r="D25" s="126">
        <v>45536</v>
      </c>
      <c r="E25" t="s">
        <v>343</v>
      </c>
      <c r="F25" s="126">
        <v>45719</v>
      </c>
      <c r="G25" s="126">
        <v>45828</v>
      </c>
      <c r="H25" s="127" t="s">
        <v>382</v>
      </c>
    </row>
    <row r="26" spans="1:8" ht="58">
      <c r="A26" t="s">
        <v>383</v>
      </c>
      <c r="B26" t="s">
        <v>384</v>
      </c>
      <c r="C26" t="s">
        <v>331</v>
      </c>
      <c r="D26" s="126">
        <v>45455</v>
      </c>
      <c r="E26" t="s">
        <v>343</v>
      </c>
      <c r="F26" s="126">
        <v>45455</v>
      </c>
      <c r="G26" s="126">
        <v>45657</v>
      </c>
      <c r="H26" s="127" t="s">
        <v>385</v>
      </c>
    </row>
    <row r="27" spans="1:8" ht="87">
      <c r="A27" t="s">
        <v>383</v>
      </c>
      <c r="B27" t="s">
        <v>384</v>
      </c>
      <c r="C27" t="s">
        <v>331</v>
      </c>
      <c r="D27" s="126">
        <v>45455</v>
      </c>
      <c r="E27" t="s">
        <v>343</v>
      </c>
      <c r="F27" s="126">
        <v>45659</v>
      </c>
      <c r="G27" s="126">
        <v>45751</v>
      </c>
      <c r="H27" s="127" t="s">
        <v>386</v>
      </c>
    </row>
    <row r="28" spans="1:8" ht="87">
      <c r="A28" t="s">
        <v>383</v>
      </c>
      <c r="B28" t="s">
        <v>384</v>
      </c>
      <c r="C28" t="s">
        <v>331</v>
      </c>
      <c r="D28" s="126">
        <v>45455</v>
      </c>
      <c r="E28" t="s">
        <v>343</v>
      </c>
      <c r="F28" s="126">
        <v>45719</v>
      </c>
      <c r="G28" s="126">
        <v>45828</v>
      </c>
      <c r="H28" s="127" t="s">
        <v>387</v>
      </c>
    </row>
    <row r="29" spans="1:8" ht="87">
      <c r="A29" t="s">
        <v>388</v>
      </c>
      <c r="B29" t="s">
        <v>389</v>
      </c>
      <c r="C29" t="s">
        <v>390</v>
      </c>
      <c r="D29" s="126">
        <v>45514</v>
      </c>
      <c r="E29" t="s">
        <v>332</v>
      </c>
      <c r="F29" s="126">
        <v>45514</v>
      </c>
      <c r="G29" s="126">
        <v>45657</v>
      </c>
      <c r="H29" s="127" t="s">
        <v>391</v>
      </c>
    </row>
    <row r="30" spans="1:8" ht="87">
      <c r="A30" t="s">
        <v>388</v>
      </c>
      <c r="B30" t="s">
        <v>389</v>
      </c>
      <c r="C30" t="s">
        <v>390</v>
      </c>
      <c r="D30" s="126">
        <v>45514</v>
      </c>
      <c r="E30" t="s">
        <v>343</v>
      </c>
      <c r="F30" s="126">
        <v>45514</v>
      </c>
      <c r="G30" s="126">
        <v>45657</v>
      </c>
      <c r="H30" s="127" t="s">
        <v>392</v>
      </c>
    </row>
    <row r="31" spans="1:8" ht="72.5">
      <c r="A31" t="s">
        <v>388</v>
      </c>
      <c r="B31" t="s">
        <v>389</v>
      </c>
      <c r="C31" t="s">
        <v>390</v>
      </c>
      <c r="D31" s="126">
        <v>45514</v>
      </c>
      <c r="E31" t="s">
        <v>332</v>
      </c>
      <c r="F31" s="126">
        <v>45659</v>
      </c>
      <c r="G31" s="126">
        <v>45747</v>
      </c>
      <c r="H31" s="127" t="s">
        <v>393</v>
      </c>
    </row>
    <row r="32" spans="1:8" ht="72.5">
      <c r="A32"/>
      <c r="B32"/>
      <c r="C32"/>
      <c r="D32"/>
      <c r="E32" t="s">
        <v>332</v>
      </c>
      <c r="F32" s="126">
        <v>45737</v>
      </c>
      <c r="G32" s="126">
        <v>45772</v>
      </c>
      <c r="H32" s="127" t="s">
        <v>394</v>
      </c>
    </row>
    <row r="33" spans="1:8" ht="58">
      <c r="A33" t="s">
        <v>388</v>
      </c>
      <c r="B33" t="s">
        <v>389</v>
      </c>
      <c r="C33" t="s">
        <v>390</v>
      </c>
      <c r="D33" s="126">
        <v>45514</v>
      </c>
      <c r="E33" t="s">
        <v>332</v>
      </c>
      <c r="F33" s="126">
        <v>45768</v>
      </c>
      <c r="G33" s="126">
        <v>45835</v>
      </c>
      <c r="H33" s="127" t="s">
        <v>395</v>
      </c>
    </row>
    <row r="34" spans="1:8" ht="72.5">
      <c r="A34" t="s">
        <v>388</v>
      </c>
      <c r="B34" t="s">
        <v>389</v>
      </c>
      <c r="C34" t="s">
        <v>390</v>
      </c>
      <c r="D34" s="126">
        <v>45514</v>
      </c>
      <c r="E34" t="s">
        <v>343</v>
      </c>
      <c r="F34" s="126">
        <v>45659</v>
      </c>
      <c r="G34" s="126">
        <v>45751</v>
      </c>
      <c r="H34" s="127" t="s">
        <v>396</v>
      </c>
    </row>
    <row r="35" spans="1:8" ht="101.5">
      <c r="A35" t="s">
        <v>388</v>
      </c>
      <c r="B35" t="s">
        <v>389</v>
      </c>
      <c r="C35" t="s">
        <v>390</v>
      </c>
      <c r="D35" s="126">
        <v>45514</v>
      </c>
      <c r="E35" t="s">
        <v>343</v>
      </c>
      <c r="F35" s="126">
        <v>45747</v>
      </c>
      <c r="G35" s="126">
        <v>45828</v>
      </c>
      <c r="H35" s="127" t="s">
        <v>397</v>
      </c>
    </row>
  </sheetData>
  <autoFilter ref="A1:H12" xr:uid="{00000000-0009-0000-0000-000005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'[Asignación de RecursosDesarrolloSAM_SVM (2).xlsx]Proyectos'!#REF!</xm:f>
          </x14:formula1>
          <xm:sqref>E2:E35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topLeftCell="A10" zoomScale="79" zoomScaleNormal="100" workbookViewId="0">
      <selection activeCell="H5" sqref="H5"/>
    </sheetView>
  </sheetViews>
  <sheetFormatPr baseColWidth="10" defaultRowHeight="14.5"/>
  <cols>
    <col min="1" max="1" width="26.90625" bestFit="1" customWidth="1"/>
    <col min="2" max="2" width="17.08984375" bestFit="1" customWidth="1"/>
    <col min="3" max="3" width="23.36328125" customWidth="1"/>
    <col min="4" max="4" width="18.6328125" style="73" customWidth="1"/>
    <col min="5" max="5" width="11" style="73"/>
    <col min="6" max="6" width="10.6328125" style="73" bestFit="1" customWidth="1"/>
    <col min="7" max="7" width="11" style="73" customWidth="1"/>
    <col min="8" max="8" width="63.6328125" customWidth="1"/>
    <col min="9" max="9" width="17" bestFit="1" customWidth="1"/>
  </cols>
  <sheetData>
    <row r="1" spans="1:9">
      <c r="A1" s="104" t="s">
        <v>289</v>
      </c>
      <c r="B1" s="104" t="s">
        <v>290</v>
      </c>
      <c r="C1" s="104" t="s">
        <v>291</v>
      </c>
      <c r="D1" s="116" t="s">
        <v>292</v>
      </c>
      <c r="E1" s="116" t="s">
        <v>1</v>
      </c>
      <c r="F1" s="116" t="s">
        <v>58</v>
      </c>
      <c r="G1" s="116" t="s">
        <v>71</v>
      </c>
      <c r="H1" s="104" t="s">
        <v>294</v>
      </c>
      <c r="I1" s="104" t="s">
        <v>60</v>
      </c>
    </row>
    <row r="2" spans="1:9" ht="71.25" customHeight="1">
      <c r="A2" s="196" t="s">
        <v>295</v>
      </c>
      <c r="B2" s="196" t="s">
        <v>296</v>
      </c>
      <c r="C2" s="195" t="s">
        <v>297</v>
      </c>
      <c r="D2" s="194">
        <v>45566</v>
      </c>
      <c r="E2" s="73" t="s">
        <v>293</v>
      </c>
      <c r="F2" s="106">
        <v>45933</v>
      </c>
      <c r="G2" s="106">
        <v>45814</v>
      </c>
      <c r="H2" s="105" t="s">
        <v>299</v>
      </c>
      <c r="I2" s="95"/>
    </row>
    <row r="3" spans="1:9">
      <c r="A3" s="196"/>
      <c r="B3" s="196"/>
      <c r="C3" s="195"/>
      <c r="D3" s="194"/>
      <c r="E3" s="73" t="s">
        <v>298</v>
      </c>
      <c r="H3" s="95" t="s">
        <v>300</v>
      </c>
      <c r="I3" s="95" t="s">
        <v>301</v>
      </c>
    </row>
    <row r="4" spans="1:9" ht="87">
      <c r="A4" s="73" t="s">
        <v>302</v>
      </c>
      <c r="B4" s="73" t="s">
        <v>347</v>
      </c>
      <c r="C4" s="107" t="s">
        <v>348</v>
      </c>
      <c r="D4" s="106">
        <v>45692</v>
      </c>
      <c r="E4" s="73" t="s">
        <v>298</v>
      </c>
      <c r="F4" s="106">
        <v>45692</v>
      </c>
      <c r="G4" s="73" t="s">
        <v>303</v>
      </c>
      <c r="H4" s="108" t="s">
        <v>304</v>
      </c>
      <c r="I4" s="73"/>
    </row>
    <row r="5" spans="1:9" ht="188.5">
      <c r="A5" s="73" t="s">
        <v>305</v>
      </c>
      <c r="B5" s="73" t="s">
        <v>306</v>
      </c>
      <c r="C5" s="107" t="s">
        <v>307</v>
      </c>
      <c r="D5" s="106">
        <v>45362</v>
      </c>
      <c r="E5" s="73" t="s">
        <v>298</v>
      </c>
      <c r="F5" s="106">
        <v>45362</v>
      </c>
      <c r="G5" s="106">
        <v>45807</v>
      </c>
      <c r="H5" s="108" t="s">
        <v>309</v>
      </c>
    </row>
    <row r="6" spans="1:9" ht="159.5">
      <c r="A6" s="73" t="s">
        <v>305</v>
      </c>
      <c r="B6" s="73" t="s">
        <v>306</v>
      </c>
      <c r="C6" s="107" t="s">
        <v>307</v>
      </c>
      <c r="D6" s="106">
        <v>45362</v>
      </c>
      <c r="E6" s="73" t="s">
        <v>298</v>
      </c>
      <c r="H6" s="86" t="s">
        <v>308</v>
      </c>
    </row>
    <row r="7" spans="1:9" ht="217.5">
      <c r="A7" s="73" t="s">
        <v>305</v>
      </c>
      <c r="B7" s="73" t="s">
        <v>306</v>
      </c>
      <c r="C7" s="107" t="s">
        <v>307</v>
      </c>
      <c r="D7" s="106">
        <v>45362</v>
      </c>
      <c r="E7" s="73" t="s">
        <v>298</v>
      </c>
      <c r="H7" s="86" t="s">
        <v>310</v>
      </c>
    </row>
    <row r="8" spans="1:9" ht="159.5">
      <c r="A8" s="73" t="s">
        <v>305</v>
      </c>
      <c r="B8" s="73" t="s">
        <v>306</v>
      </c>
      <c r="C8" s="107" t="s">
        <v>307</v>
      </c>
      <c r="D8" s="106">
        <v>45362</v>
      </c>
      <c r="E8" s="73" t="s">
        <v>298</v>
      </c>
      <c r="H8" s="86" t="s">
        <v>311</v>
      </c>
    </row>
    <row r="9" spans="1:9" ht="159.5">
      <c r="A9" s="73" t="s">
        <v>305</v>
      </c>
      <c r="B9" s="73" t="s">
        <v>306</v>
      </c>
      <c r="C9" s="107" t="s">
        <v>307</v>
      </c>
      <c r="D9" s="106">
        <v>45362</v>
      </c>
      <c r="E9" s="73" t="s">
        <v>298</v>
      </c>
      <c r="H9" s="86" t="s">
        <v>312</v>
      </c>
    </row>
    <row r="10" spans="1:9" ht="159.5">
      <c r="A10" s="73" t="s">
        <v>305</v>
      </c>
      <c r="B10" s="73" t="s">
        <v>306</v>
      </c>
      <c r="C10" s="107" t="s">
        <v>307</v>
      </c>
      <c r="D10" s="106">
        <v>45362</v>
      </c>
      <c r="E10" s="73" t="s">
        <v>298</v>
      </c>
      <c r="H10" s="86" t="s">
        <v>313</v>
      </c>
    </row>
    <row r="11" spans="1:9" ht="159.5">
      <c r="A11" s="73" t="s">
        <v>305</v>
      </c>
      <c r="B11" s="73" t="s">
        <v>306</v>
      </c>
      <c r="C11" s="107" t="s">
        <v>307</v>
      </c>
      <c r="D11" s="106">
        <v>45362</v>
      </c>
      <c r="E11" s="73" t="s">
        <v>298</v>
      </c>
      <c r="H11" s="86" t="s">
        <v>314</v>
      </c>
    </row>
  </sheetData>
  <mergeCells count="4">
    <mergeCell ref="D2:D3"/>
    <mergeCell ref="C2:C3"/>
    <mergeCell ref="B2:B3"/>
    <mergeCell ref="A2:A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8F80-2678-4FC8-BC67-F3C5BC927909}">
  <dimension ref="A2:G7"/>
  <sheetViews>
    <sheetView workbookViewId="0">
      <selection activeCell="E10" sqref="E10"/>
    </sheetView>
  </sheetViews>
  <sheetFormatPr baseColWidth="10" defaultRowHeight="14.5"/>
  <cols>
    <col min="2" max="2" width="40.26953125" bestFit="1" customWidth="1"/>
    <col min="3" max="3" width="31.54296875" customWidth="1"/>
    <col min="4" max="4" width="12.54296875" customWidth="1"/>
    <col min="6" max="6" width="13.36328125" bestFit="1" customWidth="1"/>
  </cols>
  <sheetData>
    <row r="2" spans="1:7">
      <c r="A2" t="s">
        <v>545</v>
      </c>
      <c r="B2" s="172" t="s">
        <v>544</v>
      </c>
      <c r="C2" s="172"/>
      <c r="D2" t="s">
        <v>548</v>
      </c>
      <c r="E2" t="s">
        <v>406</v>
      </c>
      <c r="F2" t="s">
        <v>546</v>
      </c>
      <c r="G2" t="s">
        <v>547</v>
      </c>
    </row>
    <row r="3" spans="1:7">
      <c r="B3" t="s">
        <v>559</v>
      </c>
      <c r="C3" t="s">
        <v>560</v>
      </c>
    </row>
    <row r="4" spans="1:7">
      <c r="B4" t="s">
        <v>561</v>
      </c>
      <c r="C4" t="s">
        <v>560</v>
      </c>
    </row>
    <row r="5" spans="1:7">
      <c r="B5" t="s">
        <v>562</v>
      </c>
      <c r="C5" t="s">
        <v>560</v>
      </c>
    </row>
    <row r="6" spans="1:7">
      <c r="B6" t="s">
        <v>563</v>
      </c>
    </row>
    <row r="7" spans="1:7">
      <c r="B7" t="s">
        <v>564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BACD8470B04A04EAC157B45FA9420FE" ma:contentTypeVersion="3" ma:contentTypeDescription="Crear nuevo documento." ma:contentTypeScope="" ma:versionID="818586b17853dea656e39d1cac780473">
  <xsd:schema xmlns:xsd="http://www.w3.org/2001/XMLSchema" xmlns:xs="http://www.w3.org/2001/XMLSchema" xmlns:p="http://schemas.microsoft.com/office/2006/metadata/properties" xmlns:ns2="ae7dd284-9dde-4b29-ba7e-c1acc107b489" targetNamespace="http://schemas.microsoft.com/office/2006/metadata/properties" ma:root="true" ma:fieldsID="62280588f79280b1ffa70ff7bd59fb5c" ns2:_="">
    <xsd:import namespace="ae7dd284-9dde-4b29-ba7e-c1acc107b48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7dd284-9dde-4b29-ba7e-c1acc107b4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926DE4-88DA-4734-AF1A-17FB2ABFE6F1}">
  <ds:schemaRefs>
    <ds:schemaRef ds:uri="http://schemas.microsoft.com/sharepoint/v3/contenttype/forms"/>
  </ds:schemaRefs>
</ds:datastoreItem>
</file>

<file path=customXml/itemProps2.xml><?xml version="1.0" encoding="utf-8"?>
<ds:datastoreItem xmlns:ds="http://schemas.openxmlformats.org/officeDocument/2006/customXml" ds:itemID="{CFC1F5A3-E1C7-41F7-BB7D-968C86F2F65E}">
  <ds:schemaRefs>
    <ds:schemaRef ds:uri="http://schemas.microsoft.com/office/infopath/2007/PartnerControls"/>
    <ds:schemaRef ds:uri="http://purl.org/dc/elements/1.1/"/>
    <ds:schemaRef ds:uri="http://purl.org/dc/terms/"/>
    <ds:schemaRef ds:uri="http://schemas.microsoft.com/office/2006/documentManagement/types"/>
    <ds:schemaRef ds:uri="http://purl.org/dc/dcmitype/"/>
    <ds:schemaRef ds:uri="http://schemas.microsoft.com/office/2006/metadata/properties"/>
    <ds:schemaRef ds:uri="http://www.w3.org/XML/1998/namespace"/>
    <ds:schemaRef ds:uri="92abe13a-c503-44a3-905f-3527c88344bd"/>
    <ds:schemaRef ds:uri="http://schemas.openxmlformats.org/package/2006/metadata/core-properties"/>
  </ds:schemaRefs>
</ds:datastoreItem>
</file>

<file path=customXml/itemProps3.xml><?xml version="1.0" encoding="utf-8"?>
<ds:datastoreItem xmlns:ds="http://schemas.openxmlformats.org/officeDocument/2006/customXml" ds:itemID="{F6762C6D-8ADA-4570-A218-F600FA99E5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7dd284-9dde-4b29-ba7e-c1acc107b4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Hoja2</vt:lpstr>
      <vt:lpstr>Charly_Ambientes</vt:lpstr>
      <vt:lpstr>Carlos</vt:lpstr>
      <vt:lpstr>Percival</vt:lpstr>
      <vt:lpstr>Alex</vt:lpstr>
      <vt:lpstr>Proyectos</vt:lpstr>
      <vt:lpstr>BAU</vt:lpstr>
      <vt:lpstr>Conciliación</vt:lpstr>
    </vt:vector>
  </TitlesOfParts>
  <Company>Produban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Barrera Lugo Carlos Alberto</dc:creator>
  <cp:lastModifiedBy>Morales Morales Jose Alejandro</cp:lastModifiedBy>
  <dcterms:created xsi:type="dcterms:W3CDTF">2025-02-17T16:15:59Z</dcterms:created>
  <dcterms:modified xsi:type="dcterms:W3CDTF">2025-11-04T16:52:14Z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0x0101008BACD8470B04A04EAC157B45FA9420FE</vt:lpwstr>
  </property>
  <property fmtid="{D5CDD505-2E9C-101B-9397-08002B2CF9AE}" pid="3" name="MSIP_Label_0c2abd79-57a9-4473-8700-c843f76a1e37_Enabled">
    <vt:lpwstr>true</vt:lpwstr>
  </property>
  <property fmtid="{D5CDD505-2E9C-101B-9397-08002B2CF9AE}" pid="4" name="MSIP_Label_0c2abd79-57a9-4473-8700-c843f76a1e37_SetDate">
    <vt:lpwstr>2025-10-15T16:40:27Z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d3604610-311e-4afe-bd8e-30ab3e3d259f</vt:lpwstr>
  </property>
  <property fmtid="{D5CDD505-2E9C-101B-9397-08002B2CF9AE}" pid="9" name="MSIP_Label_0c2abd79-57a9-4473-8700-c843f76a1e37_ContentBits">
    <vt:lpwstr>0</vt:lpwstr>
  </property>
</Properties>
</file>